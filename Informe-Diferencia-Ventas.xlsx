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" sheetId="2" state="visible" r:id="rId2"/>
    <sheet name="Enviado" sheetId="3" state="visible" r:id="rId3"/>
    <sheet name="Informe de Diferencias" sheetId="4" state="visible" r:id="rId4"/>
    <sheet name="Resumen 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+#,##0;-#,##0;0"/>
    <numFmt numFmtId="166" formatCode="0.0%"/>
    <numFmt numFmtId="167" formatCode="+$#,##0;-$#,##0;$0"/>
  </numFmts>
  <fonts count="21">
    <font>
      <name val="Calibri"/>
      <family val="2"/>
      <color theme="1"/>
      <sz val="11"/>
      <scheme val="minor"/>
    </font>
    <font>
      <name val="Arial"/>
      <b val="1"/>
      <color rgb="001F3B57"/>
      <sz val="20"/>
    </font>
    <font>
      <name val="Arial"/>
      <i val="1"/>
      <color rgb="002E5A87"/>
      <sz val="12"/>
    </font>
    <font>
      <name val="Arial"/>
      <b val="1"/>
      <color rgb="001F3B57"/>
      <sz val="12"/>
    </font>
    <font>
      <name val="Arial"/>
      <color rgb="002A2F3A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A1C1C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B57"/>
      <sz val="18"/>
    </font>
    <font>
      <name val="Arial"/>
      <i val="1"/>
      <color rgb="002E5A87"/>
      <sz val="11"/>
    </font>
    <font>
      <name val="Arial"/>
      <b val="1"/>
      <color rgb="0055606E"/>
      <sz val="10"/>
    </font>
    <font>
      <name val="Arial"/>
      <b val="1"/>
      <color rgb="001B7A3D"/>
      <sz val="18"/>
    </font>
    <font>
      <name val="Arial"/>
      <b val="1"/>
      <color rgb="009A1C1C"/>
      <sz val="18"/>
    </font>
    <font>
      <name val="Arial"/>
      <b val="1"/>
      <color rgb="001F3B57"/>
      <sz val="13"/>
    </font>
    <font>
      <name val="Arial"/>
      <b val="1"/>
      <color rgb="009A1C1C"/>
      <sz val="13"/>
    </font>
    <font>
      <name val="Arial"/>
      <b val="1"/>
      <color rgb="009A6B00"/>
      <sz val="13"/>
    </font>
    <font>
      <name val="Arial"/>
      <b val="1"/>
      <color rgb="001B7A3D"/>
      <sz val="13"/>
    </font>
    <font>
      <name val="Arial"/>
      <i val="1"/>
      <color rgb="007A828E"/>
      <sz val="9"/>
    </font>
  </fonts>
  <fills count="6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F2F4F7"/>
      </patternFill>
    </fill>
    <fill>
      <patternFill patternType="solid">
        <fgColor rgb="001F3B57"/>
      </patternFill>
    </fill>
    <fill>
      <patternFill patternType="solid">
        <fgColor rgb="002E5A87"/>
      </patternFill>
    </fill>
  </fills>
  <borders count="2">
    <border>
      <left/>
      <right/>
      <top/>
      <bottom/>
      <diagonal/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3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167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horizontal="left" vertical="center"/>
    </xf>
    <xf numFmtId="166" fontId="14" fillId="0" borderId="1" applyAlignment="1" pivotButton="0" quotePrefix="0" xfId="0">
      <alignment horizontal="left" vertical="center"/>
    </xf>
    <xf numFmtId="167" fontId="15" fillId="0" borderId="1" applyAlignment="1" pivotButton="0" quotePrefix="0" xfId="0">
      <alignment horizontal="left" vertical="center"/>
    </xf>
    <xf numFmtId="3" fontId="16" fillId="0" borderId="1" applyAlignment="1" pivotButton="0" quotePrefix="0" xfId="0">
      <alignment horizontal="left" vertical="center"/>
    </xf>
    <xf numFmtId="165" fontId="17" fillId="0" borderId="1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3" fontId="17" fillId="0" borderId="1" applyAlignment="1" pivotButton="0" quotePrefix="0" xfId="0">
      <alignment horizontal="left" vertical="center"/>
    </xf>
    <xf numFmtId="3" fontId="18" fillId="0" borderId="1" applyAlignment="1" pivotButton="0" quotePrefix="0" xfId="0">
      <alignment horizontal="left" vertical="center"/>
    </xf>
    <xf numFmtId="3" fontId="19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64" fontId="18" fillId="0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9A1C1C"/>
        <sz val="10"/>
      </font>
      <fill>
        <patternFill patternType="solid">
          <fgColor rgb="00F9D5D5"/>
        </patternFill>
      </fill>
    </dxf>
    <dxf>
      <font>
        <name val="Arial"/>
        <color rgb="009A6B00"/>
        <sz val="10"/>
      </font>
      <fill>
        <patternFill patternType="solid">
          <fgColor rgb="00FDEEC8"/>
        </patternFill>
      </fill>
    </dxf>
    <dxf>
      <font>
        <name val="Arial"/>
        <color rgb="001B7A3D"/>
        <sz val="10"/>
      </font>
      <fill>
        <patternFill patternType="solid">
          <fgColor rgb="00D6F5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Analista</author>
  </authors>
  <commentList>
    <comment ref="F2" authorId="0" shapeId="0">
      <text>
        <t>Enviado − Pedido. Negativo = faltante, positivo = sobrante.</t>
      </text>
    </comment>
    <comment ref="G2" authorId="0" shapeId="0">
      <text>
        <t>Fill rate: Enviado / Pedido. 100% = pedido cumplido.</t>
      </text>
    </comment>
    <comment ref="H2" authorId="0" shapeId="0">
      <text>
        <t>Impacto económico de la diferencia = Dif. unidades × Precio unit.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0" customHeight="1">
      <c r="B2" s="1" t="inlineStr">
        <is>
          <t>INFORME DE DIFERENCIA DE VENTAS</t>
        </is>
      </c>
    </row>
    <row r="3" ht="20" customHeight="1">
      <c r="B3" s="2" t="inlineStr">
        <is>
          <t>Pedido vs. Enviado — Plantilla de análisis de varianza</t>
        </is>
      </c>
    </row>
    <row r="4" ht="20" customHeight="1"/>
    <row r="5" ht="20" customHeight="1"/>
    <row r="6" ht="20" customHeight="1">
      <c r="B6" s="3" t="inlineStr">
        <is>
          <t>¿QUÉ HACE ESTA PLANTILLA?</t>
        </is>
      </c>
    </row>
    <row r="7" ht="20" customHeight="1">
      <c r="B7" s="4" t="inlineStr">
        <is>
          <t>Compara lo que te PIDIERON contra lo que REALMENTE ENVIASTE y calcula sola la diferencia: faltantes, sobrantes, impacto en $ y % de cumplimiento (fill rate). Vos solo cargás dos listas.</t>
        </is>
      </c>
    </row>
    <row r="8" ht="20" customHeight="1"/>
    <row r="9" ht="20" customHeight="1">
      <c r="B9" s="3" t="inlineStr">
        <is>
          <t>CÓMO USARLA — 3 pasos</t>
        </is>
      </c>
    </row>
    <row r="10" ht="20" customHeight="1">
      <c r="B10" s="4" t="inlineStr">
        <is>
          <t>1)  Pestaña «Pedido»  →  cargá lo solicitado: Código, Producto, Cantidad pedida y Precio unitario.</t>
        </is>
      </c>
    </row>
    <row r="11" ht="20" customHeight="1">
      <c r="B11" s="4" t="inlineStr">
        <is>
          <t>2)  Pestaña «Enviado» →  cargá lo despachado: Código y Cantidad enviada (el mismo Código que en Pedido).</t>
        </is>
      </c>
    </row>
    <row r="12" ht="20" customHeight="1">
      <c r="B12" s="4" t="inlineStr">
        <is>
          <t>3)  Mirá «Informe de Diferencias» y «Resumen Ejecutivo»: se calculan solos. No toques esas dos pestañas.</t>
        </is>
      </c>
    </row>
    <row r="13" ht="20" customHeight="1"/>
    <row r="14" ht="20" customHeight="1">
      <c r="B14" s="3" t="inlineStr">
        <is>
          <t>LEYENDA DE COLORES</t>
        </is>
      </c>
    </row>
    <row r="15" ht="20" customHeight="1">
      <c r="B15" s="5" t="inlineStr">
        <is>
          <t xml:space="preserve">   Celdas AMARILLAS  =  las completás vos (entrada de datos).</t>
        </is>
      </c>
    </row>
    <row r="16" ht="20" customHeight="1">
      <c r="B16" s="6" t="inlineStr">
        <is>
          <t xml:space="preserve">   Verde = OK (se cumplió)     Rojo = Faltante (enviaste de menos)     Ámbar = Sobrante (enviaste de más).</t>
        </is>
      </c>
    </row>
    <row r="17" ht="20" customHeight="1"/>
    <row r="18" ht="20" customHeight="1">
      <c r="B18" s="3" t="inlineStr">
        <is>
          <t>CLAVE DEL CRUCE</t>
        </is>
      </c>
    </row>
    <row r="19" ht="20" customHeight="1">
      <c r="B19" s="4" t="inlineStr">
        <is>
          <t>El cruce es por CÓDIGO/SKU (columna «Código»). Usá exactamente el mismo código en ambas pestañas: así evitás errores por diferencias de tipeo en el nombre. Un producto = una sola fila en «Pedido».</t>
        </is>
      </c>
    </row>
    <row r="20" ht="20" customHeight="1"/>
    <row r="21" ht="20" customHeight="1">
      <c r="B21" s="3" t="inlineStr">
        <is>
          <t>NOTA</t>
        </is>
      </c>
    </row>
    <row r="22" ht="20" customHeight="1">
      <c r="B22" s="4" t="inlineStr">
        <is>
          <t>Las pestañas «Pedido» y «Enviado» vienen con filas de EJEMPLO (fondo gris) solo para que veas el formato y cómo se ven los resultados. Borralas y cargá tus datos reales.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</cols>
  <sheetData>
    <row r="1" ht="24" customHeight="1">
      <c r="A1" s="7" t="inlineStr">
        <is>
          <t>PEDIDO  —  lo que te solicitaron  (completá las celdas amarillas)</t>
        </is>
      </c>
    </row>
    <row r="2" ht="26" customHeight="1">
      <c r="A2" s="8" t="inlineStr">
        <is>
          <t>Código</t>
        </is>
      </c>
      <c r="B2" s="8" t="inlineStr">
        <is>
          <t>Producto</t>
        </is>
      </c>
      <c r="C2" s="8" t="inlineStr">
        <is>
          <t>Cant. pedida</t>
        </is>
      </c>
      <c r="D2" s="8" t="inlineStr">
        <is>
          <t>Precio unit.</t>
        </is>
      </c>
    </row>
    <row r="3">
      <c r="A3" s="9" t="inlineStr">
        <is>
          <t>SKU-001</t>
        </is>
      </c>
      <c r="B3" s="9" t="inlineStr">
        <is>
          <t>Pan de campo 500g</t>
        </is>
      </c>
      <c r="C3" s="10" t="n">
        <v>120</v>
      </c>
      <c r="D3" s="11" t="n">
        <v>1800</v>
      </c>
    </row>
    <row r="4">
      <c r="A4" s="9" t="inlineStr">
        <is>
          <t>SKU-002</t>
        </is>
      </c>
      <c r="B4" s="9" t="inlineStr">
        <is>
          <t>Medialunas (docena)</t>
        </is>
      </c>
      <c r="C4" s="10" t="n">
        <v>50</v>
      </c>
      <c r="D4" s="11" t="n">
        <v>4200</v>
      </c>
    </row>
    <row r="5">
      <c r="A5" s="9" t="inlineStr">
        <is>
          <t>SKU-003</t>
        </is>
      </c>
      <c r="B5" s="9" t="inlineStr">
        <is>
          <t>Torta selva negra</t>
        </is>
      </c>
      <c r="C5" s="10" t="n">
        <v>20</v>
      </c>
      <c r="D5" s="11" t="n">
        <v>15000</v>
      </c>
    </row>
    <row r="6">
      <c r="A6" s="9" t="inlineStr">
        <is>
          <t>SKU-004</t>
        </is>
      </c>
      <c r="B6" s="9" t="inlineStr">
        <is>
          <t>Budín de limón</t>
        </is>
      </c>
      <c r="C6" s="10" t="n">
        <v>40</v>
      </c>
      <c r="D6" s="11" t="n">
        <v>3500</v>
      </c>
    </row>
    <row r="7">
      <c r="A7" s="9" t="inlineStr">
        <is>
          <t>SKU-005</t>
        </is>
      </c>
      <c r="B7" s="9" t="inlineStr">
        <is>
          <t>Helado 1kg dulce leche</t>
        </is>
      </c>
      <c r="C7" s="10" t="n">
        <v>30</v>
      </c>
      <c r="D7" s="11" t="n">
        <v>9800</v>
      </c>
    </row>
    <row r="8">
      <c r="A8" s="12" t="n"/>
      <c r="B8" s="12" t="n"/>
      <c r="C8" s="13" t="n"/>
      <c r="D8" s="14" t="n"/>
    </row>
    <row r="9">
      <c r="A9" s="12" t="n"/>
      <c r="B9" s="12" t="n"/>
      <c r="C9" s="13" t="n"/>
      <c r="D9" s="14" t="n"/>
    </row>
    <row r="10">
      <c r="A10" s="12" t="n"/>
      <c r="B10" s="12" t="n"/>
      <c r="C10" s="13" t="n"/>
      <c r="D10" s="14" t="n"/>
    </row>
    <row r="11">
      <c r="A11" s="12" t="n"/>
      <c r="B11" s="12" t="n"/>
      <c r="C11" s="13" t="n"/>
      <c r="D11" s="14" t="n"/>
    </row>
    <row r="12">
      <c r="A12" s="12" t="n"/>
      <c r="B12" s="12" t="n"/>
      <c r="C12" s="13" t="n"/>
      <c r="D12" s="14" t="n"/>
    </row>
    <row r="13">
      <c r="A13" s="12" t="n"/>
      <c r="B13" s="12" t="n"/>
      <c r="C13" s="13" t="n"/>
      <c r="D13" s="14" t="n"/>
    </row>
    <row r="14">
      <c r="A14" s="12" t="n"/>
      <c r="B14" s="12" t="n"/>
      <c r="C14" s="13" t="n"/>
      <c r="D14" s="14" t="n"/>
    </row>
    <row r="15">
      <c r="A15" s="12" t="n"/>
      <c r="B15" s="12" t="n"/>
      <c r="C15" s="13" t="n"/>
      <c r="D15" s="14" t="n"/>
    </row>
    <row r="16">
      <c r="A16" s="12" t="n"/>
      <c r="B16" s="12" t="n"/>
      <c r="C16" s="13" t="n"/>
      <c r="D16" s="14" t="n"/>
    </row>
    <row r="17">
      <c r="A17" s="12" t="n"/>
      <c r="B17" s="12" t="n"/>
      <c r="C17" s="13" t="n"/>
      <c r="D17" s="14" t="n"/>
    </row>
    <row r="18">
      <c r="A18" s="12" t="n"/>
      <c r="B18" s="12" t="n"/>
      <c r="C18" s="13" t="n"/>
      <c r="D18" s="14" t="n"/>
    </row>
    <row r="19">
      <c r="A19" s="12" t="n"/>
      <c r="B19" s="12" t="n"/>
      <c r="C19" s="13" t="n"/>
      <c r="D19" s="14" t="n"/>
    </row>
    <row r="20">
      <c r="A20" s="12" t="n"/>
      <c r="B20" s="12" t="n"/>
      <c r="C20" s="13" t="n"/>
      <c r="D20" s="14" t="n"/>
    </row>
    <row r="21">
      <c r="A21" s="12" t="n"/>
      <c r="B21" s="12" t="n"/>
      <c r="C21" s="13" t="n"/>
      <c r="D21" s="14" t="n"/>
    </row>
    <row r="22">
      <c r="A22" s="12" t="n"/>
      <c r="B22" s="12" t="n"/>
      <c r="C22" s="13" t="n"/>
      <c r="D22" s="14" t="n"/>
    </row>
    <row r="23">
      <c r="A23" s="12" t="n"/>
      <c r="B23" s="12" t="n"/>
      <c r="C23" s="13" t="n"/>
      <c r="D23" s="14" t="n"/>
    </row>
    <row r="24">
      <c r="A24" s="12" t="n"/>
      <c r="B24" s="12" t="n"/>
      <c r="C24" s="13" t="n"/>
      <c r="D24" s="14" t="n"/>
    </row>
    <row r="25">
      <c r="A25" s="12" t="n"/>
      <c r="B25" s="12" t="n"/>
      <c r="C25" s="13" t="n"/>
      <c r="D25" s="14" t="n"/>
    </row>
    <row r="26">
      <c r="A26" s="12" t="n"/>
      <c r="B26" s="12" t="n"/>
      <c r="C26" s="13" t="n"/>
      <c r="D26" s="14" t="n"/>
    </row>
    <row r="27">
      <c r="A27" s="12" t="n"/>
      <c r="B27" s="12" t="n"/>
      <c r="C27" s="13" t="n"/>
      <c r="D27" s="14" t="n"/>
    </row>
    <row r="28">
      <c r="A28" s="12" t="n"/>
      <c r="B28" s="12" t="n"/>
      <c r="C28" s="13" t="n"/>
      <c r="D28" s="14" t="n"/>
    </row>
    <row r="29">
      <c r="A29" s="12" t="n"/>
      <c r="B29" s="12" t="n"/>
      <c r="C29" s="13" t="n"/>
      <c r="D29" s="14" t="n"/>
    </row>
    <row r="30">
      <c r="A30" s="12" t="n"/>
      <c r="B30" s="12" t="n"/>
      <c r="C30" s="13" t="n"/>
      <c r="D30" s="14" t="n"/>
    </row>
    <row r="31">
      <c r="A31" s="12" t="n"/>
      <c r="B31" s="12" t="n"/>
      <c r="C31" s="13" t="n"/>
      <c r="D31" s="14" t="n"/>
    </row>
    <row r="32">
      <c r="A32" s="12" t="n"/>
      <c r="B32" s="12" t="n"/>
      <c r="C32" s="13" t="n"/>
      <c r="D32" s="14" t="n"/>
    </row>
    <row r="33">
      <c r="A33" s="12" t="n"/>
      <c r="B33" s="12" t="n"/>
      <c r="C33" s="13" t="n"/>
      <c r="D33" s="14" t="n"/>
    </row>
    <row r="34">
      <c r="A34" s="12" t="n"/>
      <c r="B34" s="12" t="n"/>
      <c r="C34" s="13" t="n"/>
      <c r="D34" s="14" t="n"/>
    </row>
    <row r="35">
      <c r="A35" s="12" t="n"/>
      <c r="B35" s="12" t="n"/>
      <c r="C35" s="13" t="n"/>
      <c r="D35" s="14" t="n"/>
    </row>
    <row r="36">
      <c r="A36" s="12" t="n"/>
      <c r="B36" s="12" t="n"/>
      <c r="C36" s="13" t="n"/>
      <c r="D36" s="14" t="n"/>
    </row>
    <row r="37">
      <c r="A37" s="12" t="n"/>
      <c r="B37" s="12" t="n"/>
      <c r="C37" s="13" t="n"/>
      <c r="D37" s="14" t="n"/>
    </row>
    <row r="38">
      <c r="A38" s="12" t="n"/>
      <c r="B38" s="12" t="n"/>
      <c r="C38" s="13" t="n"/>
      <c r="D38" s="14" t="n"/>
    </row>
    <row r="39">
      <c r="A39" s="12" t="n"/>
      <c r="B39" s="12" t="n"/>
      <c r="C39" s="13" t="n"/>
      <c r="D39" s="14" t="n"/>
    </row>
    <row r="40">
      <c r="A40" s="12" t="n"/>
      <c r="B40" s="12" t="n"/>
      <c r="C40" s="13" t="n"/>
      <c r="D40" s="14" t="n"/>
    </row>
    <row r="41">
      <c r="A41" s="12" t="n"/>
      <c r="B41" s="12" t="n"/>
      <c r="C41" s="13" t="n"/>
      <c r="D41" s="14" t="n"/>
    </row>
    <row r="42">
      <c r="A42" s="12" t="n"/>
      <c r="B42" s="12" t="n"/>
      <c r="C42" s="13" t="n"/>
      <c r="D42" s="14" t="n"/>
    </row>
    <row r="43">
      <c r="A43" s="12" t="n"/>
      <c r="B43" s="12" t="n"/>
      <c r="C43" s="13" t="n"/>
      <c r="D43" s="14" t="n"/>
    </row>
    <row r="44">
      <c r="A44" s="12" t="n"/>
      <c r="B44" s="12" t="n"/>
      <c r="C44" s="13" t="n"/>
      <c r="D44" s="14" t="n"/>
    </row>
    <row r="45">
      <c r="A45" s="12" t="n"/>
      <c r="B45" s="12" t="n"/>
      <c r="C45" s="13" t="n"/>
      <c r="D45" s="14" t="n"/>
    </row>
    <row r="46">
      <c r="A46" s="12" t="n"/>
      <c r="B46" s="12" t="n"/>
      <c r="C46" s="13" t="n"/>
      <c r="D46" s="14" t="n"/>
    </row>
    <row r="47">
      <c r="A47" s="12" t="n"/>
      <c r="B47" s="12" t="n"/>
      <c r="C47" s="13" t="n"/>
      <c r="D47" s="14" t="n"/>
    </row>
    <row r="48">
      <c r="A48" s="12" t="n"/>
      <c r="B48" s="12" t="n"/>
      <c r="C48" s="13" t="n"/>
      <c r="D48" s="14" t="n"/>
    </row>
    <row r="49">
      <c r="A49" s="12" t="n"/>
      <c r="B49" s="12" t="n"/>
      <c r="C49" s="13" t="n"/>
      <c r="D49" s="14" t="n"/>
    </row>
    <row r="50">
      <c r="A50" s="12" t="n"/>
      <c r="B50" s="12" t="n"/>
      <c r="C50" s="13" t="n"/>
      <c r="D50" s="14" t="n"/>
    </row>
    <row r="51">
      <c r="A51" s="12" t="n"/>
      <c r="B51" s="12" t="n"/>
      <c r="C51" s="13" t="n"/>
      <c r="D51" s="14" t="n"/>
    </row>
    <row r="52">
      <c r="A52" s="12" t="n"/>
      <c r="B52" s="12" t="n"/>
      <c r="C52" s="13" t="n"/>
      <c r="D52" s="14" t="n"/>
    </row>
    <row r="53">
      <c r="A53" s="12" t="n"/>
      <c r="B53" s="12" t="n"/>
      <c r="C53" s="13" t="n"/>
      <c r="D53" s="14" t="n"/>
    </row>
    <row r="54">
      <c r="A54" s="12" t="n"/>
      <c r="B54" s="12" t="n"/>
      <c r="C54" s="13" t="n"/>
      <c r="D54" s="14" t="n"/>
    </row>
    <row r="55">
      <c r="A55" s="12" t="n"/>
      <c r="B55" s="12" t="n"/>
      <c r="C55" s="13" t="n"/>
      <c r="D55" s="14" t="n"/>
    </row>
    <row r="56">
      <c r="A56" s="12" t="n"/>
      <c r="B56" s="12" t="n"/>
      <c r="C56" s="13" t="n"/>
      <c r="D56" s="14" t="n"/>
    </row>
    <row r="57">
      <c r="A57" s="12" t="n"/>
      <c r="B57" s="12" t="n"/>
      <c r="C57" s="13" t="n"/>
      <c r="D57" s="14" t="n"/>
    </row>
    <row r="58">
      <c r="A58" s="12" t="n"/>
      <c r="B58" s="12" t="n"/>
      <c r="C58" s="13" t="n"/>
      <c r="D58" s="14" t="n"/>
    </row>
    <row r="59">
      <c r="A59" s="12" t="n"/>
      <c r="B59" s="12" t="n"/>
      <c r="C59" s="13" t="n"/>
      <c r="D59" s="14" t="n"/>
    </row>
    <row r="60">
      <c r="A60" s="12" t="n"/>
      <c r="B60" s="12" t="n"/>
      <c r="C60" s="13" t="n"/>
      <c r="D60" s="14" t="n"/>
    </row>
    <row r="61">
      <c r="A61" s="12" t="n"/>
      <c r="B61" s="12" t="n"/>
      <c r="C61" s="13" t="n"/>
      <c r="D61" s="14" t="n"/>
    </row>
    <row r="62">
      <c r="A62" s="12" t="n"/>
      <c r="B62" s="12" t="n"/>
      <c r="C62" s="13" t="n"/>
      <c r="D62" s="14" t="n"/>
    </row>
    <row r="63">
      <c r="A63" s="12" t="n"/>
      <c r="B63" s="12" t="n"/>
      <c r="C63" s="13" t="n"/>
      <c r="D63" s="14" t="n"/>
    </row>
    <row r="64">
      <c r="A64" s="12" t="n"/>
      <c r="B64" s="12" t="n"/>
      <c r="C64" s="13" t="n"/>
      <c r="D64" s="14" t="n"/>
    </row>
    <row r="65">
      <c r="A65" s="12" t="n"/>
      <c r="B65" s="12" t="n"/>
      <c r="C65" s="13" t="n"/>
      <c r="D65" s="14" t="n"/>
    </row>
    <row r="66">
      <c r="A66" s="12" t="n"/>
      <c r="B66" s="12" t="n"/>
      <c r="C66" s="13" t="n"/>
      <c r="D66" s="14" t="n"/>
    </row>
    <row r="67">
      <c r="A67" s="12" t="n"/>
      <c r="B67" s="12" t="n"/>
      <c r="C67" s="13" t="n"/>
      <c r="D67" s="14" t="n"/>
    </row>
    <row r="68">
      <c r="A68" s="12" t="n"/>
      <c r="B68" s="12" t="n"/>
      <c r="C68" s="13" t="n"/>
      <c r="D68" s="14" t="n"/>
    </row>
    <row r="69">
      <c r="A69" s="12" t="n"/>
      <c r="B69" s="12" t="n"/>
      <c r="C69" s="13" t="n"/>
      <c r="D69" s="14" t="n"/>
    </row>
    <row r="70">
      <c r="A70" s="12" t="n"/>
      <c r="B70" s="12" t="n"/>
      <c r="C70" s="13" t="n"/>
      <c r="D70" s="14" t="n"/>
    </row>
    <row r="71">
      <c r="A71" s="12" t="n"/>
      <c r="B71" s="12" t="n"/>
      <c r="C71" s="13" t="n"/>
      <c r="D71" s="14" t="n"/>
    </row>
    <row r="72">
      <c r="A72" s="12" t="n"/>
      <c r="B72" s="12" t="n"/>
      <c r="C72" s="13" t="n"/>
      <c r="D72" s="14" t="n"/>
    </row>
    <row r="73">
      <c r="A73" s="12" t="n"/>
      <c r="B73" s="12" t="n"/>
      <c r="C73" s="13" t="n"/>
      <c r="D73" s="14" t="n"/>
    </row>
    <row r="74">
      <c r="A74" s="12" t="n"/>
      <c r="B74" s="12" t="n"/>
      <c r="C74" s="13" t="n"/>
      <c r="D74" s="14" t="n"/>
    </row>
    <row r="75">
      <c r="A75" s="12" t="n"/>
      <c r="B75" s="12" t="n"/>
      <c r="C75" s="13" t="n"/>
      <c r="D75" s="14" t="n"/>
    </row>
    <row r="76">
      <c r="A76" s="12" t="n"/>
      <c r="B76" s="12" t="n"/>
      <c r="C76" s="13" t="n"/>
      <c r="D76" s="14" t="n"/>
    </row>
    <row r="77">
      <c r="A77" s="12" t="n"/>
      <c r="B77" s="12" t="n"/>
      <c r="C77" s="13" t="n"/>
      <c r="D77" s="14" t="n"/>
    </row>
    <row r="78">
      <c r="A78" s="12" t="n"/>
      <c r="B78" s="12" t="n"/>
      <c r="C78" s="13" t="n"/>
      <c r="D78" s="14" t="n"/>
    </row>
    <row r="79">
      <c r="A79" s="12" t="n"/>
      <c r="B79" s="12" t="n"/>
      <c r="C79" s="13" t="n"/>
      <c r="D79" s="14" t="n"/>
    </row>
    <row r="80">
      <c r="A80" s="12" t="n"/>
      <c r="B80" s="12" t="n"/>
      <c r="C80" s="13" t="n"/>
      <c r="D80" s="14" t="n"/>
    </row>
    <row r="81">
      <c r="A81" s="12" t="n"/>
      <c r="B81" s="12" t="n"/>
      <c r="C81" s="13" t="n"/>
      <c r="D81" s="14" t="n"/>
    </row>
    <row r="82">
      <c r="A82" s="12" t="n"/>
      <c r="B82" s="12" t="n"/>
      <c r="C82" s="13" t="n"/>
      <c r="D82" s="14" t="n"/>
    </row>
    <row r="83">
      <c r="A83" s="12" t="n"/>
      <c r="B83" s="12" t="n"/>
      <c r="C83" s="13" t="n"/>
      <c r="D83" s="14" t="n"/>
    </row>
    <row r="84">
      <c r="A84" s="12" t="n"/>
      <c r="B84" s="12" t="n"/>
      <c r="C84" s="13" t="n"/>
      <c r="D84" s="14" t="n"/>
    </row>
    <row r="85">
      <c r="A85" s="12" t="n"/>
      <c r="B85" s="12" t="n"/>
      <c r="C85" s="13" t="n"/>
      <c r="D85" s="14" t="n"/>
    </row>
    <row r="86">
      <c r="A86" s="12" t="n"/>
      <c r="B86" s="12" t="n"/>
      <c r="C86" s="13" t="n"/>
      <c r="D86" s="14" t="n"/>
    </row>
    <row r="87">
      <c r="A87" s="12" t="n"/>
      <c r="B87" s="12" t="n"/>
      <c r="C87" s="13" t="n"/>
      <c r="D87" s="14" t="n"/>
    </row>
    <row r="88">
      <c r="A88" s="12" t="n"/>
      <c r="B88" s="12" t="n"/>
      <c r="C88" s="13" t="n"/>
      <c r="D88" s="14" t="n"/>
    </row>
    <row r="89">
      <c r="A89" s="12" t="n"/>
      <c r="B89" s="12" t="n"/>
      <c r="C89" s="13" t="n"/>
      <c r="D89" s="14" t="n"/>
    </row>
    <row r="90">
      <c r="A90" s="12" t="n"/>
      <c r="B90" s="12" t="n"/>
      <c r="C90" s="13" t="n"/>
      <c r="D90" s="14" t="n"/>
    </row>
    <row r="91">
      <c r="A91" s="12" t="n"/>
      <c r="B91" s="12" t="n"/>
      <c r="C91" s="13" t="n"/>
      <c r="D91" s="14" t="n"/>
    </row>
    <row r="92">
      <c r="A92" s="12" t="n"/>
      <c r="B92" s="12" t="n"/>
      <c r="C92" s="13" t="n"/>
      <c r="D92" s="14" t="n"/>
    </row>
    <row r="93">
      <c r="A93" s="12" t="n"/>
      <c r="B93" s="12" t="n"/>
      <c r="C93" s="13" t="n"/>
      <c r="D93" s="14" t="n"/>
    </row>
    <row r="94">
      <c r="A94" s="12" t="n"/>
      <c r="B94" s="12" t="n"/>
      <c r="C94" s="13" t="n"/>
      <c r="D94" s="14" t="n"/>
    </row>
    <row r="95">
      <c r="A95" s="12" t="n"/>
      <c r="B95" s="12" t="n"/>
      <c r="C95" s="13" t="n"/>
      <c r="D95" s="14" t="n"/>
    </row>
    <row r="96">
      <c r="A96" s="12" t="n"/>
      <c r="B96" s="12" t="n"/>
      <c r="C96" s="13" t="n"/>
      <c r="D96" s="14" t="n"/>
    </row>
    <row r="97">
      <c r="A97" s="12" t="n"/>
      <c r="B97" s="12" t="n"/>
      <c r="C97" s="13" t="n"/>
      <c r="D97" s="14" t="n"/>
    </row>
    <row r="98">
      <c r="A98" s="12" t="n"/>
      <c r="B98" s="12" t="n"/>
      <c r="C98" s="13" t="n"/>
      <c r="D98" s="14" t="n"/>
    </row>
    <row r="99">
      <c r="A99" s="12" t="n"/>
      <c r="B99" s="12" t="n"/>
      <c r="C99" s="13" t="n"/>
      <c r="D99" s="14" t="n"/>
    </row>
    <row r="100">
      <c r="A100" s="12" t="n"/>
      <c r="B100" s="12" t="n"/>
      <c r="C100" s="13" t="n"/>
      <c r="D100" s="14" t="n"/>
    </row>
    <row r="101">
      <c r="A101" s="12" t="n"/>
      <c r="B101" s="12" t="n"/>
      <c r="C101" s="13" t="n"/>
      <c r="D101" s="1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4" customWidth="1" min="4" max="4"/>
  </cols>
  <sheetData>
    <row r="1" ht="24" customHeight="1">
      <c r="A1" s="15" t="inlineStr">
        <is>
          <t>ENVIADO  —  lo que realmente despachaste  (completá las celdas amarillas)</t>
        </is>
      </c>
    </row>
    <row r="2" ht="26" customHeight="1">
      <c r="A2" s="16" t="inlineStr">
        <is>
          <t>Código</t>
        </is>
      </c>
      <c r="B2" s="16" t="inlineStr">
        <is>
          <t>Producto</t>
        </is>
      </c>
      <c r="C2" s="16" t="inlineStr">
        <is>
          <t>Cant. enviada</t>
        </is>
      </c>
      <c r="D2" s="16" t="inlineStr">
        <is>
          <t>Control</t>
        </is>
      </c>
    </row>
    <row r="3">
      <c r="A3" s="9" t="inlineStr">
        <is>
          <t>SKU-001</t>
        </is>
      </c>
      <c r="B3" s="9" t="inlineStr">
        <is>
          <t>Pan de campo 500g</t>
        </is>
      </c>
      <c r="C3" s="10" t="n">
        <v>120</v>
      </c>
      <c r="D3" s="17">
        <f>IF(A3="","",IF(COUNTIF(Pedido!$A$3:$A$101,A3)=0,"⚠ No figuraba en el pedido",""))</f>
        <v/>
      </c>
    </row>
    <row r="4">
      <c r="A4" s="9" t="inlineStr">
        <is>
          <t>SKU-002</t>
        </is>
      </c>
      <c r="B4" s="9" t="inlineStr">
        <is>
          <t>Medialunas (docena)</t>
        </is>
      </c>
      <c r="C4" s="10" t="n">
        <v>45</v>
      </c>
      <c r="D4" s="17">
        <f>IF(A4="","",IF(COUNTIF(Pedido!$A$3:$A$101,A4)=0,"⚠ No figuraba en el pedido",""))</f>
        <v/>
      </c>
    </row>
    <row r="5">
      <c r="A5" s="9" t="inlineStr">
        <is>
          <t>SKU-003</t>
        </is>
      </c>
      <c r="B5" s="9" t="inlineStr">
        <is>
          <t>Torta selva negra</t>
        </is>
      </c>
      <c r="C5" s="10" t="n">
        <v>20</v>
      </c>
      <c r="D5" s="17">
        <f>IF(A5="","",IF(COUNTIF(Pedido!$A$3:$A$101,A5)=0,"⚠ No figuraba en el pedido",""))</f>
        <v/>
      </c>
    </row>
    <row r="6">
      <c r="A6" s="9" t="inlineStr">
        <is>
          <t>SKU-004</t>
        </is>
      </c>
      <c r="B6" s="9" t="inlineStr">
        <is>
          <t>Budín de limón</t>
        </is>
      </c>
      <c r="C6" s="10" t="n">
        <v>48</v>
      </c>
      <c r="D6" s="17">
        <f>IF(A6="","",IF(COUNTIF(Pedido!$A$3:$A$101,A6)=0,"⚠ No figuraba en el pedido",""))</f>
        <v/>
      </c>
    </row>
    <row r="7">
      <c r="A7" s="9" t="inlineStr">
        <is>
          <t>SKU-005</t>
        </is>
      </c>
      <c r="B7" s="9" t="inlineStr">
        <is>
          <t>Helado 1kg dulce leche</t>
        </is>
      </c>
      <c r="C7" s="10" t="n">
        <v>22</v>
      </c>
      <c r="D7" s="17">
        <f>IF(A7="","",IF(COUNTIF(Pedido!$A$3:$A$101,A7)=0,"⚠ No figuraba en el pedido",""))</f>
        <v/>
      </c>
    </row>
    <row r="8">
      <c r="A8" s="12" t="n"/>
      <c r="B8" s="12" t="n"/>
      <c r="C8" s="13" t="n"/>
      <c r="D8" s="17">
        <f>IF(A8="","",IF(COUNTIF(Pedido!$A$3:$A$101,A8)=0,"⚠ No figuraba en el pedido",""))</f>
        <v/>
      </c>
    </row>
    <row r="9">
      <c r="A9" s="12" t="n"/>
      <c r="B9" s="12" t="n"/>
      <c r="C9" s="13" t="n"/>
      <c r="D9" s="17">
        <f>IF(A9="","",IF(COUNTIF(Pedido!$A$3:$A$101,A9)=0,"⚠ No figuraba en el pedido",""))</f>
        <v/>
      </c>
    </row>
    <row r="10">
      <c r="A10" s="12" t="n"/>
      <c r="B10" s="12" t="n"/>
      <c r="C10" s="13" t="n"/>
      <c r="D10" s="17">
        <f>IF(A10="","",IF(COUNTIF(Pedido!$A$3:$A$101,A10)=0,"⚠ No figuraba en el pedido",""))</f>
        <v/>
      </c>
    </row>
    <row r="11">
      <c r="A11" s="12" t="n"/>
      <c r="B11" s="12" t="n"/>
      <c r="C11" s="13" t="n"/>
      <c r="D11" s="17">
        <f>IF(A11="","",IF(COUNTIF(Pedido!$A$3:$A$101,A11)=0,"⚠ No figuraba en el pedido",""))</f>
        <v/>
      </c>
    </row>
    <row r="12">
      <c r="A12" s="12" t="n"/>
      <c r="B12" s="12" t="n"/>
      <c r="C12" s="13" t="n"/>
      <c r="D12" s="17">
        <f>IF(A12="","",IF(COUNTIF(Pedido!$A$3:$A$101,A12)=0,"⚠ No figuraba en el pedido",""))</f>
        <v/>
      </c>
    </row>
    <row r="13">
      <c r="A13" s="12" t="n"/>
      <c r="B13" s="12" t="n"/>
      <c r="C13" s="13" t="n"/>
      <c r="D13" s="17">
        <f>IF(A13="","",IF(COUNTIF(Pedido!$A$3:$A$101,A13)=0,"⚠ No figuraba en el pedido",""))</f>
        <v/>
      </c>
    </row>
    <row r="14">
      <c r="A14" s="12" t="n"/>
      <c r="B14" s="12" t="n"/>
      <c r="C14" s="13" t="n"/>
      <c r="D14" s="17">
        <f>IF(A14="","",IF(COUNTIF(Pedido!$A$3:$A$101,A14)=0,"⚠ No figuraba en el pedido",""))</f>
        <v/>
      </c>
    </row>
    <row r="15">
      <c r="A15" s="12" t="n"/>
      <c r="B15" s="12" t="n"/>
      <c r="C15" s="13" t="n"/>
      <c r="D15" s="17">
        <f>IF(A15="","",IF(COUNTIF(Pedido!$A$3:$A$101,A15)=0,"⚠ No figuraba en el pedido",""))</f>
        <v/>
      </c>
    </row>
    <row r="16">
      <c r="A16" s="12" t="n"/>
      <c r="B16" s="12" t="n"/>
      <c r="C16" s="13" t="n"/>
      <c r="D16" s="17">
        <f>IF(A16="","",IF(COUNTIF(Pedido!$A$3:$A$101,A16)=0,"⚠ No figuraba en el pedido",""))</f>
        <v/>
      </c>
    </row>
    <row r="17">
      <c r="A17" s="12" t="n"/>
      <c r="B17" s="12" t="n"/>
      <c r="C17" s="13" t="n"/>
      <c r="D17" s="17">
        <f>IF(A17="","",IF(COUNTIF(Pedido!$A$3:$A$101,A17)=0,"⚠ No figuraba en el pedido",""))</f>
        <v/>
      </c>
    </row>
    <row r="18">
      <c r="A18" s="12" t="n"/>
      <c r="B18" s="12" t="n"/>
      <c r="C18" s="13" t="n"/>
      <c r="D18" s="17">
        <f>IF(A18="","",IF(COUNTIF(Pedido!$A$3:$A$101,A18)=0,"⚠ No figuraba en el pedido",""))</f>
        <v/>
      </c>
    </row>
    <row r="19">
      <c r="A19" s="12" t="n"/>
      <c r="B19" s="12" t="n"/>
      <c r="C19" s="13" t="n"/>
      <c r="D19" s="17">
        <f>IF(A19="","",IF(COUNTIF(Pedido!$A$3:$A$101,A19)=0,"⚠ No figuraba en el pedido",""))</f>
        <v/>
      </c>
    </row>
    <row r="20">
      <c r="A20" s="12" t="n"/>
      <c r="B20" s="12" t="n"/>
      <c r="C20" s="13" t="n"/>
      <c r="D20" s="17">
        <f>IF(A20="","",IF(COUNTIF(Pedido!$A$3:$A$101,A20)=0,"⚠ No figuraba en el pedido",""))</f>
        <v/>
      </c>
    </row>
    <row r="21">
      <c r="A21" s="12" t="n"/>
      <c r="B21" s="12" t="n"/>
      <c r="C21" s="13" t="n"/>
      <c r="D21" s="17">
        <f>IF(A21="","",IF(COUNTIF(Pedido!$A$3:$A$101,A21)=0,"⚠ No figuraba en el pedido",""))</f>
        <v/>
      </c>
    </row>
    <row r="22">
      <c r="A22" s="12" t="n"/>
      <c r="B22" s="12" t="n"/>
      <c r="C22" s="13" t="n"/>
      <c r="D22" s="17">
        <f>IF(A22="","",IF(COUNTIF(Pedido!$A$3:$A$101,A22)=0,"⚠ No figuraba en el pedido",""))</f>
        <v/>
      </c>
    </row>
    <row r="23">
      <c r="A23" s="12" t="n"/>
      <c r="B23" s="12" t="n"/>
      <c r="C23" s="13" t="n"/>
      <c r="D23" s="17">
        <f>IF(A23="","",IF(COUNTIF(Pedido!$A$3:$A$101,A23)=0,"⚠ No figuraba en el pedido",""))</f>
        <v/>
      </c>
    </row>
    <row r="24">
      <c r="A24" s="12" t="n"/>
      <c r="B24" s="12" t="n"/>
      <c r="C24" s="13" t="n"/>
      <c r="D24" s="17">
        <f>IF(A24="","",IF(COUNTIF(Pedido!$A$3:$A$101,A24)=0,"⚠ No figuraba en el pedido",""))</f>
        <v/>
      </c>
    </row>
    <row r="25">
      <c r="A25" s="12" t="n"/>
      <c r="B25" s="12" t="n"/>
      <c r="C25" s="13" t="n"/>
      <c r="D25" s="17">
        <f>IF(A25="","",IF(COUNTIF(Pedido!$A$3:$A$101,A25)=0,"⚠ No figuraba en el pedido",""))</f>
        <v/>
      </c>
    </row>
    <row r="26">
      <c r="A26" s="12" t="n"/>
      <c r="B26" s="12" t="n"/>
      <c r="C26" s="13" t="n"/>
      <c r="D26" s="17">
        <f>IF(A26="","",IF(COUNTIF(Pedido!$A$3:$A$101,A26)=0,"⚠ No figuraba en el pedido",""))</f>
        <v/>
      </c>
    </row>
    <row r="27">
      <c r="A27" s="12" t="n"/>
      <c r="B27" s="12" t="n"/>
      <c r="C27" s="13" t="n"/>
      <c r="D27" s="17">
        <f>IF(A27="","",IF(COUNTIF(Pedido!$A$3:$A$101,A27)=0,"⚠ No figuraba en el pedido",""))</f>
        <v/>
      </c>
    </row>
    <row r="28">
      <c r="A28" s="12" t="n"/>
      <c r="B28" s="12" t="n"/>
      <c r="C28" s="13" t="n"/>
      <c r="D28" s="17">
        <f>IF(A28="","",IF(COUNTIF(Pedido!$A$3:$A$101,A28)=0,"⚠ No figuraba en el pedido",""))</f>
        <v/>
      </c>
    </row>
    <row r="29">
      <c r="A29" s="12" t="n"/>
      <c r="B29" s="12" t="n"/>
      <c r="C29" s="13" t="n"/>
      <c r="D29" s="17">
        <f>IF(A29="","",IF(COUNTIF(Pedido!$A$3:$A$101,A29)=0,"⚠ No figuraba en el pedido",""))</f>
        <v/>
      </c>
    </row>
    <row r="30">
      <c r="A30" s="12" t="n"/>
      <c r="B30" s="12" t="n"/>
      <c r="C30" s="13" t="n"/>
      <c r="D30" s="17">
        <f>IF(A30="","",IF(COUNTIF(Pedido!$A$3:$A$101,A30)=0,"⚠ No figuraba en el pedido",""))</f>
        <v/>
      </c>
    </row>
    <row r="31">
      <c r="A31" s="12" t="n"/>
      <c r="B31" s="12" t="n"/>
      <c r="C31" s="13" t="n"/>
      <c r="D31" s="17">
        <f>IF(A31="","",IF(COUNTIF(Pedido!$A$3:$A$101,A31)=0,"⚠ No figuraba en el pedido",""))</f>
        <v/>
      </c>
    </row>
    <row r="32">
      <c r="A32" s="12" t="n"/>
      <c r="B32" s="12" t="n"/>
      <c r="C32" s="13" t="n"/>
      <c r="D32" s="17">
        <f>IF(A32="","",IF(COUNTIF(Pedido!$A$3:$A$101,A32)=0,"⚠ No figuraba en el pedido",""))</f>
        <v/>
      </c>
    </row>
    <row r="33">
      <c r="A33" s="12" t="n"/>
      <c r="B33" s="12" t="n"/>
      <c r="C33" s="13" t="n"/>
      <c r="D33" s="17">
        <f>IF(A33="","",IF(COUNTIF(Pedido!$A$3:$A$101,A33)=0,"⚠ No figuraba en el pedido",""))</f>
        <v/>
      </c>
    </row>
    <row r="34">
      <c r="A34" s="12" t="n"/>
      <c r="B34" s="12" t="n"/>
      <c r="C34" s="13" t="n"/>
      <c r="D34" s="17">
        <f>IF(A34="","",IF(COUNTIF(Pedido!$A$3:$A$101,A34)=0,"⚠ No figuraba en el pedido",""))</f>
        <v/>
      </c>
    </row>
    <row r="35">
      <c r="A35" s="12" t="n"/>
      <c r="B35" s="12" t="n"/>
      <c r="C35" s="13" t="n"/>
      <c r="D35" s="17">
        <f>IF(A35="","",IF(COUNTIF(Pedido!$A$3:$A$101,A35)=0,"⚠ No figuraba en el pedido",""))</f>
        <v/>
      </c>
    </row>
    <row r="36">
      <c r="A36" s="12" t="n"/>
      <c r="B36" s="12" t="n"/>
      <c r="C36" s="13" t="n"/>
      <c r="D36" s="17">
        <f>IF(A36="","",IF(COUNTIF(Pedido!$A$3:$A$101,A36)=0,"⚠ No figuraba en el pedido",""))</f>
        <v/>
      </c>
    </row>
    <row r="37">
      <c r="A37" s="12" t="n"/>
      <c r="B37" s="12" t="n"/>
      <c r="C37" s="13" t="n"/>
      <c r="D37" s="17">
        <f>IF(A37="","",IF(COUNTIF(Pedido!$A$3:$A$101,A37)=0,"⚠ No figuraba en el pedido",""))</f>
        <v/>
      </c>
    </row>
    <row r="38">
      <c r="A38" s="12" t="n"/>
      <c r="B38" s="12" t="n"/>
      <c r="C38" s="13" t="n"/>
      <c r="D38" s="17">
        <f>IF(A38="","",IF(COUNTIF(Pedido!$A$3:$A$101,A38)=0,"⚠ No figuraba en el pedido",""))</f>
        <v/>
      </c>
    </row>
    <row r="39">
      <c r="A39" s="12" t="n"/>
      <c r="B39" s="12" t="n"/>
      <c r="C39" s="13" t="n"/>
      <c r="D39" s="17">
        <f>IF(A39="","",IF(COUNTIF(Pedido!$A$3:$A$101,A39)=0,"⚠ No figuraba en el pedido",""))</f>
        <v/>
      </c>
    </row>
    <row r="40">
      <c r="A40" s="12" t="n"/>
      <c r="B40" s="12" t="n"/>
      <c r="C40" s="13" t="n"/>
      <c r="D40" s="17">
        <f>IF(A40="","",IF(COUNTIF(Pedido!$A$3:$A$101,A40)=0,"⚠ No figuraba en el pedido",""))</f>
        <v/>
      </c>
    </row>
    <row r="41">
      <c r="A41" s="12" t="n"/>
      <c r="B41" s="12" t="n"/>
      <c r="C41" s="13" t="n"/>
      <c r="D41" s="17">
        <f>IF(A41="","",IF(COUNTIF(Pedido!$A$3:$A$101,A41)=0,"⚠ No figuraba en el pedido",""))</f>
        <v/>
      </c>
    </row>
    <row r="42">
      <c r="A42" s="12" t="n"/>
      <c r="B42" s="12" t="n"/>
      <c r="C42" s="13" t="n"/>
      <c r="D42" s="17">
        <f>IF(A42="","",IF(COUNTIF(Pedido!$A$3:$A$101,A42)=0,"⚠ No figuraba en el pedido",""))</f>
        <v/>
      </c>
    </row>
    <row r="43">
      <c r="A43" s="12" t="n"/>
      <c r="B43" s="12" t="n"/>
      <c r="C43" s="13" t="n"/>
      <c r="D43" s="17">
        <f>IF(A43="","",IF(COUNTIF(Pedido!$A$3:$A$101,A43)=0,"⚠ No figuraba en el pedido",""))</f>
        <v/>
      </c>
    </row>
    <row r="44">
      <c r="A44" s="12" t="n"/>
      <c r="B44" s="12" t="n"/>
      <c r="C44" s="13" t="n"/>
      <c r="D44" s="17">
        <f>IF(A44="","",IF(COUNTIF(Pedido!$A$3:$A$101,A44)=0,"⚠ No figuraba en el pedido",""))</f>
        <v/>
      </c>
    </row>
    <row r="45">
      <c r="A45" s="12" t="n"/>
      <c r="B45" s="12" t="n"/>
      <c r="C45" s="13" t="n"/>
      <c r="D45" s="17">
        <f>IF(A45="","",IF(COUNTIF(Pedido!$A$3:$A$101,A45)=0,"⚠ No figuraba en el pedido",""))</f>
        <v/>
      </c>
    </row>
    <row r="46">
      <c r="A46" s="12" t="n"/>
      <c r="B46" s="12" t="n"/>
      <c r="C46" s="13" t="n"/>
      <c r="D46" s="17">
        <f>IF(A46="","",IF(COUNTIF(Pedido!$A$3:$A$101,A46)=0,"⚠ No figuraba en el pedido",""))</f>
        <v/>
      </c>
    </row>
    <row r="47">
      <c r="A47" s="12" t="n"/>
      <c r="B47" s="12" t="n"/>
      <c r="C47" s="13" t="n"/>
      <c r="D47" s="17">
        <f>IF(A47="","",IF(COUNTIF(Pedido!$A$3:$A$101,A47)=0,"⚠ No figuraba en el pedido",""))</f>
        <v/>
      </c>
    </row>
    <row r="48">
      <c r="A48" s="12" t="n"/>
      <c r="B48" s="12" t="n"/>
      <c r="C48" s="13" t="n"/>
      <c r="D48" s="17">
        <f>IF(A48="","",IF(COUNTIF(Pedido!$A$3:$A$101,A48)=0,"⚠ No figuraba en el pedido",""))</f>
        <v/>
      </c>
    </row>
    <row r="49">
      <c r="A49" s="12" t="n"/>
      <c r="B49" s="12" t="n"/>
      <c r="C49" s="13" t="n"/>
      <c r="D49" s="17">
        <f>IF(A49="","",IF(COUNTIF(Pedido!$A$3:$A$101,A49)=0,"⚠ No figuraba en el pedido",""))</f>
        <v/>
      </c>
    </row>
    <row r="50">
      <c r="A50" s="12" t="n"/>
      <c r="B50" s="12" t="n"/>
      <c r="C50" s="13" t="n"/>
      <c r="D50" s="17">
        <f>IF(A50="","",IF(COUNTIF(Pedido!$A$3:$A$101,A50)=0,"⚠ No figuraba en el pedido",""))</f>
        <v/>
      </c>
    </row>
    <row r="51">
      <c r="A51" s="12" t="n"/>
      <c r="B51" s="12" t="n"/>
      <c r="C51" s="13" t="n"/>
      <c r="D51" s="17">
        <f>IF(A51="","",IF(COUNTIF(Pedido!$A$3:$A$101,A51)=0,"⚠ No figuraba en el pedido",""))</f>
        <v/>
      </c>
    </row>
    <row r="52">
      <c r="A52" s="12" t="n"/>
      <c r="B52" s="12" t="n"/>
      <c r="C52" s="13" t="n"/>
      <c r="D52" s="17">
        <f>IF(A52="","",IF(COUNTIF(Pedido!$A$3:$A$101,A52)=0,"⚠ No figuraba en el pedido",""))</f>
        <v/>
      </c>
    </row>
    <row r="53">
      <c r="A53" s="12" t="n"/>
      <c r="B53" s="12" t="n"/>
      <c r="C53" s="13" t="n"/>
      <c r="D53" s="17">
        <f>IF(A53="","",IF(COUNTIF(Pedido!$A$3:$A$101,A53)=0,"⚠ No figuraba en el pedido",""))</f>
        <v/>
      </c>
    </row>
    <row r="54">
      <c r="A54" s="12" t="n"/>
      <c r="B54" s="12" t="n"/>
      <c r="C54" s="13" t="n"/>
      <c r="D54" s="17">
        <f>IF(A54="","",IF(COUNTIF(Pedido!$A$3:$A$101,A54)=0,"⚠ No figuraba en el pedido",""))</f>
        <v/>
      </c>
    </row>
    <row r="55">
      <c r="A55" s="12" t="n"/>
      <c r="B55" s="12" t="n"/>
      <c r="C55" s="13" t="n"/>
      <c r="D55" s="17">
        <f>IF(A55="","",IF(COUNTIF(Pedido!$A$3:$A$101,A55)=0,"⚠ No figuraba en el pedido",""))</f>
        <v/>
      </c>
    </row>
    <row r="56">
      <c r="A56" s="12" t="n"/>
      <c r="B56" s="12" t="n"/>
      <c r="C56" s="13" t="n"/>
      <c r="D56" s="17">
        <f>IF(A56="","",IF(COUNTIF(Pedido!$A$3:$A$101,A56)=0,"⚠ No figuraba en el pedido",""))</f>
        <v/>
      </c>
    </row>
    <row r="57">
      <c r="A57" s="12" t="n"/>
      <c r="B57" s="12" t="n"/>
      <c r="C57" s="13" t="n"/>
      <c r="D57" s="17">
        <f>IF(A57="","",IF(COUNTIF(Pedido!$A$3:$A$101,A57)=0,"⚠ No figuraba en el pedido",""))</f>
        <v/>
      </c>
    </row>
    <row r="58">
      <c r="A58" s="12" t="n"/>
      <c r="B58" s="12" t="n"/>
      <c r="C58" s="13" t="n"/>
      <c r="D58" s="17">
        <f>IF(A58="","",IF(COUNTIF(Pedido!$A$3:$A$101,A58)=0,"⚠ No figuraba en el pedido",""))</f>
        <v/>
      </c>
    </row>
    <row r="59">
      <c r="A59" s="12" t="n"/>
      <c r="B59" s="12" t="n"/>
      <c r="C59" s="13" t="n"/>
      <c r="D59" s="17">
        <f>IF(A59="","",IF(COUNTIF(Pedido!$A$3:$A$101,A59)=0,"⚠ No figuraba en el pedido",""))</f>
        <v/>
      </c>
    </row>
    <row r="60">
      <c r="A60" s="12" t="n"/>
      <c r="B60" s="12" t="n"/>
      <c r="C60" s="13" t="n"/>
      <c r="D60" s="17">
        <f>IF(A60="","",IF(COUNTIF(Pedido!$A$3:$A$101,A60)=0,"⚠ No figuraba en el pedido",""))</f>
        <v/>
      </c>
    </row>
    <row r="61">
      <c r="A61" s="12" t="n"/>
      <c r="B61" s="12" t="n"/>
      <c r="C61" s="13" t="n"/>
      <c r="D61" s="17">
        <f>IF(A61="","",IF(COUNTIF(Pedido!$A$3:$A$101,A61)=0,"⚠ No figuraba en el pedido",""))</f>
        <v/>
      </c>
    </row>
    <row r="62">
      <c r="A62" s="12" t="n"/>
      <c r="B62" s="12" t="n"/>
      <c r="C62" s="13" t="n"/>
      <c r="D62" s="17">
        <f>IF(A62="","",IF(COUNTIF(Pedido!$A$3:$A$101,A62)=0,"⚠ No figuraba en el pedido",""))</f>
        <v/>
      </c>
    </row>
    <row r="63">
      <c r="A63" s="12" t="n"/>
      <c r="B63" s="12" t="n"/>
      <c r="C63" s="13" t="n"/>
      <c r="D63" s="17">
        <f>IF(A63="","",IF(COUNTIF(Pedido!$A$3:$A$101,A63)=0,"⚠ No figuraba en el pedido",""))</f>
        <v/>
      </c>
    </row>
    <row r="64">
      <c r="A64" s="12" t="n"/>
      <c r="B64" s="12" t="n"/>
      <c r="C64" s="13" t="n"/>
      <c r="D64" s="17">
        <f>IF(A64="","",IF(COUNTIF(Pedido!$A$3:$A$101,A64)=0,"⚠ No figuraba en el pedido",""))</f>
        <v/>
      </c>
    </row>
    <row r="65">
      <c r="A65" s="12" t="n"/>
      <c r="B65" s="12" t="n"/>
      <c r="C65" s="13" t="n"/>
      <c r="D65" s="17">
        <f>IF(A65="","",IF(COUNTIF(Pedido!$A$3:$A$101,A65)=0,"⚠ No figuraba en el pedido",""))</f>
        <v/>
      </c>
    </row>
    <row r="66">
      <c r="A66" s="12" t="n"/>
      <c r="B66" s="12" t="n"/>
      <c r="C66" s="13" t="n"/>
      <c r="D66" s="17">
        <f>IF(A66="","",IF(COUNTIF(Pedido!$A$3:$A$101,A66)=0,"⚠ No figuraba en el pedido",""))</f>
        <v/>
      </c>
    </row>
    <row r="67">
      <c r="A67" s="12" t="n"/>
      <c r="B67" s="12" t="n"/>
      <c r="C67" s="13" t="n"/>
      <c r="D67" s="17">
        <f>IF(A67="","",IF(COUNTIF(Pedido!$A$3:$A$101,A67)=0,"⚠ No figuraba en el pedido",""))</f>
        <v/>
      </c>
    </row>
    <row r="68">
      <c r="A68" s="12" t="n"/>
      <c r="B68" s="12" t="n"/>
      <c r="C68" s="13" t="n"/>
      <c r="D68" s="17">
        <f>IF(A68="","",IF(COUNTIF(Pedido!$A$3:$A$101,A68)=0,"⚠ No figuraba en el pedido",""))</f>
        <v/>
      </c>
    </row>
    <row r="69">
      <c r="A69" s="12" t="n"/>
      <c r="B69" s="12" t="n"/>
      <c r="C69" s="13" t="n"/>
      <c r="D69" s="17">
        <f>IF(A69="","",IF(COUNTIF(Pedido!$A$3:$A$101,A69)=0,"⚠ No figuraba en el pedido",""))</f>
        <v/>
      </c>
    </row>
    <row r="70">
      <c r="A70" s="12" t="n"/>
      <c r="B70" s="12" t="n"/>
      <c r="C70" s="13" t="n"/>
      <c r="D70" s="17">
        <f>IF(A70="","",IF(COUNTIF(Pedido!$A$3:$A$101,A70)=0,"⚠ No figuraba en el pedido",""))</f>
        <v/>
      </c>
    </row>
    <row r="71">
      <c r="A71" s="12" t="n"/>
      <c r="B71" s="12" t="n"/>
      <c r="C71" s="13" t="n"/>
      <c r="D71" s="17">
        <f>IF(A71="","",IF(COUNTIF(Pedido!$A$3:$A$101,A71)=0,"⚠ No figuraba en el pedido",""))</f>
        <v/>
      </c>
    </row>
    <row r="72">
      <c r="A72" s="12" t="n"/>
      <c r="B72" s="12" t="n"/>
      <c r="C72" s="13" t="n"/>
      <c r="D72" s="17">
        <f>IF(A72="","",IF(COUNTIF(Pedido!$A$3:$A$101,A72)=0,"⚠ No figuraba en el pedido",""))</f>
        <v/>
      </c>
    </row>
    <row r="73">
      <c r="A73" s="12" t="n"/>
      <c r="B73" s="12" t="n"/>
      <c r="C73" s="13" t="n"/>
      <c r="D73" s="17">
        <f>IF(A73="","",IF(COUNTIF(Pedido!$A$3:$A$101,A73)=0,"⚠ No figuraba en el pedido",""))</f>
        <v/>
      </c>
    </row>
    <row r="74">
      <c r="A74" s="12" t="n"/>
      <c r="B74" s="12" t="n"/>
      <c r="C74" s="13" t="n"/>
      <c r="D74" s="17">
        <f>IF(A74="","",IF(COUNTIF(Pedido!$A$3:$A$101,A74)=0,"⚠ No figuraba en el pedido",""))</f>
        <v/>
      </c>
    </row>
    <row r="75">
      <c r="A75" s="12" t="n"/>
      <c r="B75" s="12" t="n"/>
      <c r="C75" s="13" t="n"/>
      <c r="D75" s="17">
        <f>IF(A75="","",IF(COUNTIF(Pedido!$A$3:$A$101,A75)=0,"⚠ No figuraba en el pedido",""))</f>
        <v/>
      </c>
    </row>
    <row r="76">
      <c r="A76" s="12" t="n"/>
      <c r="B76" s="12" t="n"/>
      <c r="C76" s="13" t="n"/>
      <c r="D76" s="17">
        <f>IF(A76="","",IF(COUNTIF(Pedido!$A$3:$A$101,A76)=0,"⚠ No figuraba en el pedido",""))</f>
        <v/>
      </c>
    </row>
    <row r="77">
      <c r="A77" s="12" t="n"/>
      <c r="B77" s="12" t="n"/>
      <c r="C77" s="13" t="n"/>
      <c r="D77" s="17">
        <f>IF(A77="","",IF(COUNTIF(Pedido!$A$3:$A$101,A77)=0,"⚠ No figuraba en el pedido",""))</f>
        <v/>
      </c>
    </row>
    <row r="78">
      <c r="A78" s="12" t="n"/>
      <c r="B78" s="12" t="n"/>
      <c r="C78" s="13" t="n"/>
      <c r="D78" s="17">
        <f>IF(A78="","",IF(COUNTIF(Pedido!$A$3:$A$101,A78)=0,"⚠ No figuraba en el pedido",""))</f>
        <v/>
      </c>
    </row>
    <row r="79">
      <c r="A79" s="12" t="n"/>
      <c r="B79" s="12" t="n"/>
      <c r="C79" s="13" t="n"/>
      <c r="D79" s="17">
        <f>IF(A79="","",IF(COUNTIF(Pedido!$A$3:$A$101,A79)=0,"⚠ No figuraba en el pedido",""))</f>
        <v/>
      </c>
    </row>
    <row r="80">
      <c r="A80" s="12" t="n"/>
      <c r="B80" s="12" t="n"/>
      <c r="C80" s="13" t="n"/>
      <c r="D80" s="17">
        <f>IF(A80="","",IF(COUNTIF(Pedido!$A$3:$A$101,A80)=0,"⚠ No figuraba en el pedido",""))</f>
        <v/>
      </c>
    </row>
    <row r="81">
      <c r="A81" s="12" t="n"/>
      <c r="B81" s="12" t="n"/>
      <c r="C81" s="13" t="n"/>
      <c r="D81" s="17">
        <f>IF(A81="","",IF(COUNTIF(Pedido!$A$3:$A$101,A81)=0,"⚠ No figuraba en el pedido",""))</f>
        <v/>
      </c>
    </row>
    <row r="82">
      <c r="A82" s="12" t="n"/>
      <c r="B82" s="12" t="n"/>
      <c r="C82" s="13" t="n"/>
      <c r="D82" s="17">
        <f>IF(A82="","",IF(COUNTIF(Pedido!$A$3:$A$101,A82)=0,"⚠ No figuraba en el pedido",""))</f>
        <v/>
      </c>
    </row>
    <row r="83">
      <c r="A83" s="12" t="n"/>
      <c r="B83" s="12" t="n"/>
      <c r="C83" s="13" t="n"/>
      <c r="D83" s="17">
        <f>IF(A83="","",IF(COUNTIF(Pedido!$A$3:$A$101,A83)=0,"⚠ No figuraba en el pedido",""))</f>
        <v/>
      </c>
    </row>
    <row r="84">
      <c r="A84" s="12" t="n"/>
      <c r="B84" s="12" t="n"/>
      <c r="C84" s="13" t="n"/>
      <c r="D84" s="17">
        <f>IF(A84="","",IF(COUNTIF(Pedido!$A$3:$A$101,A84)=0,"⚠ No figuraba en el pedido",""))</f>
        <v/>
      </c>
    </row>
    <row r="85">
      <c r="A85" s="12" t="n"/>
      <c r="B85" s="12" t="n"/>
      <c r="C85" s="13" t="n"/>
      <c r="D85" s="17">
        <f>IF(A85="","",IF(COUNTIF(Pedido!$A$3:$A$101,A85)=0,"⚠ No figuraba en el pedido",""))</f>
        <v/>
      </c>
    </row>
    <row r="86">
      <c r="A86" s="12" t="n"/>
      <c r="B86" s="12" t="n"/>
      <c r="C86" s="13" t="n"/>
      <c r="D86" s="17">
        <f>IF(A86="","",IF(COUNTIF(Pedido!$A$3:$A$101,A86)=0,"⚠ No figuraba en el pedido",""))</f>
        <v/>
      </c>
    </row>
    <row r="87">
      <c r="A87" s="12" t="n"/>
      <c r="B87" s="12" t="n"/>
      <c r="C87" s="13" t="n"/>
      <c r="D87" s="17">
        <f>IF(A87="","",IF(COUNTIF(Pedido!$A$3:$A$101,A87)=0,"⚠ No figuraba en el pedido",""))</f>
        <v/>
      </c>
    </row>
    <row r="88">
      <c r="A88" s="12" t="n"/>
      <c r="B88" s="12" t="n"/>
      <c r="C88" s="13" t="n"/>
      <c r="D88" s="17">
        <f>IF(A88="","",IF(COUNTIF(Pedido!$A$3:$A$101,A88)=0,"⚠ No figuraba en el pedido",""))</f>
        <v/>
      </c>
    </row>
    <row r="89">
      <c r="A89" s="12" t="n"/>
      <c r="B89" s="12" t="n"/>
      <c r="C89" s="13" t="n"/>
      <c r="D89" s="17">
        <f>IF(A89="","",IF(COUNTIF(Pedido!$A$3:$A$101,A89)=0,"⚠ No figuraba en el pedido",""))</f>
        <v/>
      </c>
    </row>
    <row r="90">
      <c r="A90" s="12" t="n"/>
      <c r="B90" s="12" t="n"/>
      <c r="C90" s="13" t="n"/>
      <c r="D90" s="17">
        <f>IF(A90="","",IF(COUNTIF(Pedido!$A$3:$A$101,A90)=0,"⚠ No figuraba en el pedido",""))</f>
        <v/>
      </c>
    </row>
    <row r="91">
      <c r="A91" s="12" t="n"/>
      <c r="B91" s="12" t="n"/>
      <c r="C91" s="13" t="n"/>
      <c r="D91" s="17">
        <f>IF(A91="","",IF(COUNTIF(Pedido!$A$3:$A$101,A91)=0,"⚠ No figuraba en el pedido",""))</f>
        <v/>
      </c>
    </row>
    <row r="92">
      <c r="A92" s="12" t="n"/>
      <c r="B92" s="12" t="n"/>
      <c r="C92" s="13" t="n"/>
      <c r="D92" s="17">
        <f>IF(A92="","",IF(COUNTIF(Pedido!$A$3:$A$101,A92)=0,"⚠ No figuraba en el pedido",""))</f>
        <v/>
      </c>
    </row>
    <row r="93">
      <c r="A93" s="12" t="n"/>
      <c r="B93" s="12" t="n"/>
      <c r="C93" s="13" t="n"/>
      <c r="D93" s="17">
        <f>IF(A93="","",IF(COUNTIF(Pedido!$A$3:$A$101,A93)=0,"⚠ No figuraba en el pedido",""))</f>
        <v/>
      </c>
    </row>
    <row r="94">
      <c r="A94" s="12" t="n"/>
      <c r="B94" s="12" t="n"/>
      <c r="C94" s="13" t="n"/>
      <c r="D94" s="17">
        <f>IF(A94="","",IF(COUNTIF(Pedido!$A$3:$A$101,A94)=0,"⚠ No figuraba en el pedido",""))</f>
        <v/>
      </c>
    </row>
    <row r="95">
      <c r="A95" s="12" t="n"/>
      <c r="B95" s="12" t="n"/>
      <c r="C95" s="13" t="n"/>
      <c r="D95" s="17">
        <f>IF(A95="","",IF(COUNTIF(Pedido!$A$3:$A$101,A95)=0,"⚠ No figuraba en el pedido",""))</f>
        <v/>
      </c>
    </row>
    <row r="96">
      <c r="A96" s="12" t="n"/>
      <c r="B96" s="12" t="n"/>
      <c r="C96" s="13" t="n"/>
      <c r="D96" s="17">
        <f>IF(A96="","",IF(COUNTIF(Pedido!$A$3:$A$101,A96)=0,"⚠ No figuraba en el pedido",""))</f>
        <v/>
      </c>
    </row>
    <row r="97">
      <c r="A97" s="12" t="n"/>
      <c r="B97" s="12" t="n"/>
      <c r="C97" s="13" t="n"/>
      <c r="D97" s="17">
        <f>IF(A97="","",IF(COUNTIF(Pedido!$A$3:$A$101,A97)=0,"⚠ No figuraba en el pedido",""))</f>
        <v/>
      </c>
    </row>
    <row r="98">
      <c r="A98" s="12" t="n"/>
      <c r="B98" s="12" t="n"/>
      <c r="C98" s="13" t="n"/>
      <c r="D98" s="17">
        <f>IF(A98="","",IF(COUNTIF(Pedido!$A$3:$A$101,A98)=0,"⚠ No figuraba en el pedido",""))</f>
        <v/>
      </c>
    </row>
    <row r="99">
      <c r="A99" s="12" t="n"/>
      <c r="B99" s="12" t="n"/>
      <c r="C99" s="13" t="n"/>
      <c r="D99" s="17">
        <f>IF(A99="","",IF(COUNTIF(Pedido!$A$3:$A$101,A99)=0,"⚠ No figuraba en el pedido",""))</f>
        <v/>
      </c>
    </row>
    <row r="100">
      <c r="A100" s="12" t="n"/>
      <c r="B100" s="12" t="n"/>
      <c r="C100" s="13" t="n"/>
      <c r="D100" s="17">
        <f>IF(A100="","",IF(COUNTIF(Pedido!$A$3:$A$101,A100)=0,"⚠ No figuraba en el pedido",""))</f>
        <v/>
      </c>
    </row>
    <row r="101">
      <c r="A101" s="12" t="n"/>
      <c r="B101" s="12" t="n"/>
      <c r="C101" s="13" t="n"/>
      <c r="D101" s="17">
        <f>IF(A101="","",IF(COUNTIF(Pedido!$A$3:$A$101,A101)=0,"⚠ No figuraba en el pedido",""))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6" customWidth="1" min="8" max="8"/>
    <col width="14" customWidth="1" min="9" max="9"/>
  </cols>
  <sheetData>
    <row r="1" ht="24" customHeight="1">
      <c r="A1" s="7" t="inlineStr">
        <is>
          <t>INFORME DE DIFERENCIAS  —  Pedido vs. Enviado  (cálculo automático)</t>
        </is>
      </c>
    </row>
    <row r="2" ht="30" customHeight="1">
      <c r="A2" s="8" t="inlineStr">
        <is>
          <t>Código</t>
        </is>
      </c>
      <c r="B2" s="8" t="inlineStr">
        <is>
          <t>Producto</t>
        </is>
      </c>
      <c r="C2" s="8" t="inlineStr">
        <is>
          <t>Precio unit.</t>
        </is>
      </c>
      <c r="D2" s="8" t="inlineStr">
        <is>
          <t>Pedido (u)</t>
        </is>
      </c>
      <c r="E2" s="8" t="inlineStr">
        <is>
          <t>Enviado (u)</t>
        </is>
      </c>
      <c r="F2" s="8" t="inlineStr">
        <is>
          <t>Dif. unidades</t>
        </is>
      </c>
      <c r="G2" s="8" t="inlineStr">
        <is>
          <t>% Cumplim.</t>
        </is>
      </c>
      <c r="H2" s="8" t="inlineStr">
        <is>
          <t>Dif. valor ($)</t>
        </is>
      </c>
      <c r="I2" s="8" t="inlineStr">
        <is>
          <t>Estado</t>
        </is>
      </c>
    </row>
    <row r="3">
      <c r="A3" s="18">
        <f>IF(Pedido!A3="","",Pedido!A3)</f>
        <v/>
      </c>
      <c r="B3" s="18">
        <f>IF(Pedido!A3="","",Pedido!B3)</f>
        <v/>
      </c>
      <c r="C3" s="19">
        <f>IF(Pedido!A3="","",Pedido!D3)</f>
        <v/>
      </c>
      <c r="D3" s="20">
        <f>IF(Pedido!A3="","",Pedido!C3)</f>
        <v/>
      </c>
      <c r="E3" s="20">
        <f>IF(A3="","",SUMIFS(Enviado!$C$3:$C$101,Enviado!$A$3:$A$101,A3))</f>
        <v/>
      </c>
      <c r="F3" s="21">
        <f>IF(A3="","",E3-D3)</f>
        <v/>
      </c>
      <c r="G3" s="22">
        <f>IF(A3="","",IFERROR(E3/D3,""))</f>
        <v/>
      </c>
      <c r="H3" s="23">
        <f>IF(A3="","",F3*C3)</f>
        <v/>
      </c>
      <c r="I3" s="24">
        <f>IF(A3="","",IF(F3=0,"OK",IF(F3&lt;0,"Faltante","Sobrante")))</f>
        <v/>
      </c>
    </row>
    <row r="4">
      <c r="A4" s="18">
        <f>IF(Pedido!A4="","",Pedido!A4)</f>
        <v/>
      </c>
      <c r="B4" s="18">
        <f>IF(Pedido!A4="","",Pedido!B4)</f>
        <v/>
      </c>
      <c r="C4" s="19">
        <f>IF(Pedido!A4="","",Pedido!D4)</f>
        <v/>
      </c>
      <c r="D4" s="20">
        <f>IF(Pedido!A4="","",Pedido!C4)</f>
        <v/>
      </c>
      <c r="E4" s="20">
        <f>IF(A4="","",SUMIFS(Enviado!$C$3:$C$101,Enviado!$A$3:$A$101,A4))</f>
        <v/>
      </c>
      <c r="F4" s="21">
        <f>IF(A4="","",E4-D4)</f>
        <v/>
      </c>
      <c r="G4" s="22">
        <f>IF(A4="","",IFERROR(E4/D4,""))</f>
        <v/>
      </c>
      <c r="H4" s="23">
        <f>IF(A4="","",F4*C4)</f>
        <v/>
      </c>
      <c r="I4" s="24">
        <f>IF(A4="","",IF(F4=0,"OK",IF(F4&lt;0,"Faltante","Sobrante")))</f>
        <v/>
      </c>
    </row>
    <row r="5">
      <c r="A5" s="18">
        <f>IF(Pedido!A5="","",Pedido!A5)</f>
        <v/>
      </c>
      <c r="B5" s="18">
        <f>IF(Pedido!A5="","",Pedido!B5)</f>
        <v/>
      </c>
      <c r="C5" s="19">
        <f>IF(Pedido!A5="","",Pedido!D5)</f>
        <v/>
      </c>
      <c r="D5" s="20">
        <f>IF(Pedido!A5="","",Pedido!C5)</f>
        <v/>
      </c>
      <c r="E5" s="20">
        <f>IF(A5="","",SUMIFS(Enviado!$C$3:$C$101,Enviado!$A$3:$A$101,A5))</f>
        <v/>
      </c>
      <c r="F5" s="21">
        <f>IF(A5="","",E5-D5)</f>
        <v/>
      </c>
      <c r="G5" s="22">
        <f>IF(A5="","",IFERROR(E5/D5,""))</f>
        <v/>
      </c>
      <c r="H5" s="23">
        <f>IF(A5="","",F5*C5)</f>
        <v/>
      </c>
      <c r="I5" s="24">
        <f>IF(A5="","",IF(F5=0,"OK",IF(F5&lt;0,"Faltante","Sobrante")))</f>
        <v/>
      </c>
    </row>
    <row r="6">
      <c r="A6" s="18">
        <f>IF(Pedido!A6="","",Pedido!A6)</f>
        <v/>
      </c>
      <c r="B6" s="18">
        <f>IF(Pedido!A6="","",Pedido!B6)</f>
        <v/>
      </c>
      <c r="C6" s="19">
        <f>IF(Pedido!A6="","",Pedido!D6)</f>
        <v/>
      </c>
      <c r="D6" s="20">
        <f>IF(Pedido!A6="","",Pedido!C6)</f>
        <v/>
      </c>
      <c r="E6" s="20">
        <f>IF(A6="","",SUMIFS(Enviado!$C$3:$C$101,Enviado!$A$3:$A$101,A6))</f>
        <v/>
      </c>
      <c r="F6" s="21">
        <f>IF(A6="","",E6-D6)</f>
        <v/>
      </c>
      <c r="G6" s="22">
        <f>IF(A6="","",IFERROR(E6/D6,""))</f>
        <v/>
      </c>
      <c r="H6" s="23">
        <f>IF(A6="","",F6*C6)</f>
        <v/>
      </c>
      <c r="I6" s="24">
        <f>IF(A6="","",IF(F6=0,"OK",IF(F6&lt;0,"Faltante","Sobrante")))</f>
        <v/>
      </c>
    </row>
    <row r="7">
      <c r="A7" s="18">
        <f>IF(Pedido!A7="","",Pedido!A7)</f>
        <v/>
      </c>
      <c r="B7" s="18">
        <f>IF(Pedido!A7="","",Pedido!B7)</f>
        <v/>
      </c>
      <c r="C7" s="19">
        <f>IF(Pedido!A7="","",Pedido!D7)</f>
        <v/>
      </c>
      <c r="D7" s="20">
        <f>IF(Pedido!A7="","",Pedido!C7)</f>
        <v/>
      </c>
      <c r="E7" s="20">
        <f>IF(A7="","",SUMIFS(Enviado!$C$3:$C$101,Enviado!$A$3:$A$101,A7))</f>
        <v/>
      </c>
      <c r="F7" s="21">
        <f>IF(A7="","",E7-D7)</f>
        <v/>
      </c>
      <c r="G7" s="22">
        <f>IF(A7="","",IFERROR(E7/D7,""))</f>
        <v/>
      </c>
      <c r="H7" s="23">
        <f>IF(A7="","",F7*C7)</f>
        <v/>
      </c>
      <c r="I7" s="24">
        <f>IF(A7="","",IF(F7=0,"OK",IF(F7&lt;0,"Faltante","Sobrante")))</f>
        <v/>
      </c>
    </row>
    <row r="8">
      <c r="A8" s="18">
        <f>IF(Pedido!A8="","",Pedido!A8)</f>
        <v/>
      </c>
      <c r="B8" s="18">
        <f>IF(Pedido!A8="","",Pedido!B8)</f>
        <v/>
      </c>
      <c r="C8" s="19">
        <f>IF(Pedido!A8="","",Pedido!D8)</f>
        <v/>
      </c>
      <c r="D8" s="20">
        <f>IF(Pedido!A8="","",Pedido!C8)</f>
        <v/>
      </c>
      <c r="E8" s="20">
        <f>IF(A8="","",SUMIFS(Enviado!$C$3:$C$101,Enviado!$A$3:$A$101,A8))</f>
        <v/>
      </c>
      <c r="F8" s="21">
        <f>IF(A8="","",E8-D8)</f>
        <v/>
      </c>
      <c r="G8" s="22">
        <f>IF(A8="","",IFERROR(E8/D8,""))</f>
        <v/>
      </c>
      <c r="H8" s="23">
        <f>IF(A8="","",F8*C8)</f>
        <v/>
      </c>
      <c r="I8" s="24">
        <f>IF(A8="","",IF(F8=0,"OK",IF(F8&lt;0,"Faltante","Sobrante")))</f>
        <v/>
      </c>
    </row>
    <row r="9">
      <c r="A9" s="18">
        <f>IF(Pedido!A9="","",Pedido!A9)</f>
        <v/>
      </c>
      <c r="B9" s="18">
        <f>IF(Pedido!A9="","",Pedido!B9)</f>
        <v/>
      </c>
      <c r="C9" s="19">
        <f>IF(Pedido!A9="","",Pedido!D9)</f>
        <v/>
      </c>
      <c r="D9" s="20">
        <f>IF(Pedido!A9="","",Pedido!C9)</f>
        <v/>
      </c>
      <c r="E9" s="20">
        <f>IF(A9="","",SUMIFS(Enviado!$C$3:$C$101,Enviado!$A$3:$A$101,A9))</f>
        <v/>
      </c>
      <c r="F9" s="21">
        <f>IF(A9="","",E9-D9)</f>
        <v/>
      </c>
      <c r="G9" s="22">
        <f>IF(A9="","",IFERROR(E9/D9,""))</f>
        <v/>
      </c>
      <c r="H9" s="23">
        <f>IF(A9="","",F9*C9)</f>
        <v/>
      </c>
      <c r="I9" s="24">
        <f>IF(A9="","",IF(F9=0,"OK",IF(F9&lt;0,"Faltante","Sobrante")))</f>
        <v/>
      </c>
    </row>
    <row r="10">
      <c r="A10" s="18">
        <f>IF(Pedido!A10="","",Pedido!A10)</f>
        <v/>
      </c>
      <c r="B10" s="18">
        <f>IF(Pedido!A10="","",Pedido!B10)</f>
        <v/>
      </c>
      <c r="C10" s="19">
        <f>IF(Pedido!A10="","",Pedido!D10)</f>
        <v/>
      </c>
      <c r="D10" s="20">
        <f>IF(Pedido!A10="","",Pedido!C10)</f>
        <v/>
      </c>
      <c r="E10" s="20">
        <f>IF(A10="","",SUMIFS(Enviado!$C$3:$C$101,Enviado!$A$3:$A$101,A10))</f>
        <v/>
      </c>
      <c r="F10" s="21">
        <f>IF(A10="","",E10-D10)</f>
        <v/>
      </c>
      <c r="G10" s="22">
        <f>IF(A10="","",IFERROR(E10/D10,""))</f>
        <v/>
      </c>
      <c r="H10" s="23">
        <f>IF(A10="","",F10*C10)</f>
        <v/>
      </c>
      <c r="I10" s="24">
        <f>IF(A10="","",IF(F10=0,"OK",IF(F10&lt;0,"Faltante","Sobrante")))</f>
        <v/>
      </c>
    </row>
    <row r="11">
      <c r="A11" s="18">
        <f>IF(Pedido!A11="","",Pedido!A11)</f>
        <v/>
      </c>
      <c r="B11" s="18">
        <f>IF(Pedido!A11="","",Pedido!B11)</f>
        <v/>
      </c>
      <c r="C11" s="19">
        <f>IF(Pedido!A11="","",Pedido!D11)</f>
        <v/>
      </c>
      <c r="D11" s="20">
        <f>IF(Pedido!A11="","",Pedido!C11)</f>
        <v/>
      </c>
      <c r="E11" s="20">
        <f>IF(A11="","",SUMIFS(Enviado!$C$3:$C$101,Enviado!$A$3:$A$101,A11))</f>
        <v/>
      </c>
      <c r="F11" s="21">
        <f>IF(A11="","",E11-D11)</f>
        <v/>
      </c>
      <c r="G11" s="22">
        <f>IF(A11="","",IFERROR(E11/D11,""))</f>
        <v/>
      </c>
      <c r="H11" s="23">
        <f>IF(A11="","",F11*C11)</f>
        <v/>
      </c>
      <c r="I11" s="24">
        <f>IF(A11="","",IF(F11=0,"OK",IF(F11&lt;0,"Faltante","Sobrante")))</f>
        <v/>
      </c>
    </row>
    <row r="12">
      <c r="A12" s="18">
        <f>IF(Pedido!A12="","",Pedido!A12)</f>
        <v/>
      </c>
      <c r="B12" s="18">
        <f>IF(Pedido!A12="","",Pedido!B12)</f>
        <v/>
      </c>
      <c r="C12" s="19">
        <f>IF(Pedido!A12="","",Pedido!D12)</f>
        <v/>
      </c>
      <c r="D12" s="20">
        <f>IF(Pedido!A12="","",Pedido!C12)</f>
        <v/>
      </c>
      <c r="E12" s="20">
        <f>IF(A12="","",SUMIFS(Enviado!$C$3:$C$101,Enviado!$A$3:$A$101,A12))</f>
        <v/>
      </c>
      <c r="F12" s="21">
        <f>IF(A12="","",E12-D12)</f>
        <v/>
      </c>
      <c r="G12" s="22">
        <f>IF(A12="","",IFERROR(E12/D12,""))</f>
        <v/>
      </c>
      <c r="H12" s="23">
        <f>IF(A12="","",F12*C12)</f>
        <v/>
      </c>
      <c r="I12" s="24">
        <f>IF(A12="","",IF(F12=0,"OK",IF(F12&lt;0,"Faltante","Sobrante")))</f>
        <v/>
      </c>
    </row>
    <row r="13">
      <c r="A13" s="18">
        <f>IF(Pedido!A13="","",Pedido!A13)</f>
        <v/>
      </c>
      <c r="B13" s="18">
        <f>IF(Pedido!A13="","",Pedido!B13)</f>
        <v/>
      </c>
      <c r="C13" s="19">
        <f>IF(Pedido!A13="","",Pedido!D13)</f>
        <v/>
      </c>
      <c r="D13" s="20">
        <f>IF(Pedido!A13="","",Pedido!C13)</f>
        <v/>
      </c>
      <c r="E13" s="20">
        <f>IF(A13="","",SUMIFS(Enviado!$C$3:$C$101,Enviado!$A$3:$A$101,A13))</f>
        <v/>
      </c>
      <c r="F13" s="21">
        <f>IF(A13="","",E13-D13)</f>
        <v/>
      </c>
      <c r="G13" s="22">
        <f>IF(A13="","",IFERROR(E13/D13,""))</f>
        <v/>
      </c>
      <c r="H13" s="23">
        <f>IF(A13="","",F13*C13)</f>
        <v/>
      </c>
      <c r="I13" s="24">
        <f>IF(A13="","",IF(F13=0,"OK",IF(F13&lt;0,"Faltante","Sobrante")))</f>
        <v/>
      </c>
    </row>
    <row r="14">
      <c r="A14" s="18">
        <f>IF(Pedido!A14="","",Pedido!A14)</f>
        <v/>
      </c>
      <c r="B14" s="18">
        <f>IF(Pedido!A14="","",Pedido!B14)</f>
        <v/>
      </c>
      <c r="C14" s="19">
        <f>IF(Pedido!A14="","",Pedido!D14)</f>
        <v/>
      </c>
      <c r="D14" s="20">
        <f>IF(Pedido!A14="","",Pedido!C14)</f>
        <v/>
      </c>
      <c r="E14" s="20">
        <f>IF(A14="","",SUMIFS(Enviado!$C$3:$C$101,Enviado!$A$3:$A$101,A14))</f>
        <v/>
      </c>
      <c r="F14" s="21">
        <f>IF(A14="","",E14-D14)</f>
        <v/>
      </c>
      <c r="G14" s="22">
        <f>IF(A14="","",IFERROR(E14/D14,""))</f>
        <v/>
      </c>
      <c r="H14" s="23">
        <f>IF(A14="","",F14*C14)</f>
        <v/>
      </c>
      <c r="I14" s="24">
        <f>IF(A14="","",IF(F14=0,"OK",IF(F14&lt;0,"Faltante","Sobrante")))</f>
        <v/>
      </c>
    </row>
    <row r="15">
      <c r="A15" s="18">
        <f>IF(Pedido!A15="","",Pedido!A15)</f>
        <v/>
      </c>
      <c r="B15" s="18">
        <f>IF(Pedido!A15="","",Pedido!B15)</f>
        <v/>
      </c>
      <c r="C15" s="19">
        <f>IF(Pedido!A15="","",Pedido!D15)</f>
        <v/>
      </c>
      <c r="D15" s="20">
        <f>IF(Pedido!A15="","",Pedido!C15)</f>
        <v/>
      </c>
      <c r="E15" s="20">
        <f>IF(A15="","",SUMIFS(Enviado!$C$3:$C$101,Enviado!$A$3:$A$101,A15))</f>
        <v/>
      </c>
      <c r="F15" s="21">
        <f>IF(A15="","",E15-D15)</f>
        <v/>
      </c>
      <c r="G15" s="22">
        <f>IF(A15="","",IFERROR(E15/D15,""))</f>
        <v/>
      </c>
      <c r="H15" s="23">
        <f>IF(A15="","",F15*C15)</f>
        <v/>
      </c>
      <c r="I15" s="24">
        <f>IF(A15="","",IF(F15=0,"OK",IF(F15&lt;0,"Faltante","Sobrante")))</f>
        <v/>
      </c>
    </row>
    <row r="16">
      <c r="A16" s="18">
        <f>IF(Pedido!A16="","",Pedido!A16)</f>
        <v/>
      </c>
      <c r="B16" s="18">
        <f>IF(Pedido!A16="","",Pedido!B16)</f>
        <v/>
      </c>
      <c r="C16" s="19">
        <f>IF(Pedido!A16="","",Pedido!D16)</f>
        <v/>
      </c>
      <c r="D16" s="20">
        <f>IF(Pedido!A16="","",Pedido!C16)</f>
        <v/>
      </c>
      <c r="E16" s="20">
        <f>IF(A16="","",SUMIFS(Enviado!$C$3:$C$101,Enviado!$A$3:$A$101,A16))</f>
        <v/>
      </c>
      <c r="F16" s="21">
        <f>IF(A16="","",E16-D16)</f>
        <v/>
      </c>
      <c r="G16" s="22">
        <f>IF(A16="","",IFERROR(E16/D16,""))</f>
        <v/>
      </c>
      <c r="H16" s="23">
        <f>IF(A16="","",F16*C16)</f>
        <v/>
      </c>
      <c r="I16" s="24">
        <f>IF(A16="","",IF(F16=0,"OK",IF(F16&lt;0,"Faltante","Sobrante")))</f>
        <v/>
      </c>
    </row>
    <row r="17">
      <c r="A17" s="18">
        <f>IF(Pedido!A17="","",Pedido!A17)</f>
        <v/>
      </c>
      <c r="B17" s="18">
        <f>IF(Pedido!A17="","",Pedido!B17)</f>
        <v/>
      </c>
      <c r="C17" s="19">
        <f>IF(Pedido!A17="","",Pedido!D17)</f>
        <v/>
      </c>
      <c r="D17" s="20">
        <f>IF(Pedido!A17="","",Pedido!C17)</f>
        <v/>
      </c>
      <c r="E17" s="20">
        <f>IF(A17="","",SUMIFS(Enviado!$C$3:$C$101,Enviado!$A$3:$A$101,A17))</f>
        <v/>
      </c>
      <c r="F17" s="21">
        <f>IF(A17="","",E17-D17)</f>
        <v/>
      </c>
      <c r="G17" s="22">
        <f>IF(A17="","",IFERROR(E17/D17,""))</f>
        <v/>
      </c>
      <c r="H17" s="23">
        <f>IF(A17="","",F17*C17)</f>
        <v/>
      </c>
      <c r="I17" s="24">
        <f>IF(A17="","",IF(F17=0,"OK",IF(F17&lt;0,"Faltante","Sobrante")))</f>
        <v/>
      </c>
    </row>
    <row r="18">
      <c r="A18" s="18">
        <f>IF(Pedido!A18="","",Pedido!A18)</f>
        <v/>
      </c>
      <c r="B18" s="18">
        <f>IF(Pedido!A18="","",Pedido!B18)</f>
        <v/>
      </c>
      <c r="C18" s="19">
        <f>IF(Pedido!A18="","",Pedido!D18)</f>
        <v/>
      </c>
      <c r="D18" s="20">
        <f>IF(Pedido!A18="","",Pedido!C18)</f>
        <v/>
      </c>
      <c r="E18" s="20">
        <f>IF(A18="","",SUMIFS(Enviado!$C$3:$C$101,Enviado!$A$3:$A$101,A18))</f>
        <v/>
      </c>
      <c r="F18" s="21">
        <f>IF(A18="","",E18-D18)</f>
        <v/>
      </c>
      <c r="G18" s="22">
        <f>IF(A18="","",IFERROR(E18/D18,""))</f>
        <v/>
      </c>
      <c r="H18" s="23">
        <f>IF(A18="","",F18*C18)</f>
        <v/>
      </c>
      <c r="I18" s="24">
        <f>IF(A18="","",IF(F18=0,"OK",IF(F18&lt;0,"Faltante","Sobrante")))</f>
        <v/>
      </c>
    </row>
    <row r="19">
      <c r="A19" s="18">
        <f>IF(Pedido!A19="","",Pedido!A19)</f>
        <v/>
      </c>
      <c r="B19" s="18">
        <f>IF(Pedido!A19="","",Pedido!B19)</f>
        <v/>
      </c>
      <c r="C19" s="19">
        <f>IF(Pedido!A19="","",Pedido!D19)</f>
        <v/>
      </c>
      <c r="D19" s="20">
        <f>IF(Pedido!A19="","",Pedido!C19)</f>
        <v/>
      </c>
      <c r="E19" s="20">
        <f>IF(A19="","",SUMIFS(Enviado!$C$3:$C$101,Enviado!$A$3:$A$101,A19))</f>
        <v/>
      </c>
      <c r="F19" s="21">
        <f>IF(A19="","",E19-D19)</f>
        <v/>
      </c>
      <c r="G19" s="22">
        <f>IF(A19="","",IFERROR(E19/D19,""))</f>
        <v/>
      </c>
      <c r="H19" s="23">
        <f>IF(A19="","",F19*C19)</f>
        <v/>
      </c>
      <c r="I19" s="24">
        <f>IF(A19="","",IF(F19=0,"OK",IF(F19&lt;0,"Faltante","Sobrante")))</f>
        <v/>
      </c>
    </row>
    <row r="20">
      <c r="A20" s="18">
        <f>IF(Pedido!A20="","",Pedido!A20)</f>
        <v/>
      </c>
      <c r="B20" s="18">
        <f>IF(Pedido!A20="","",Pedido!B20)</f>
        <v/>
      </c>
      <c r="C20" s="19">
        <f>IF(Pedido!A20="","",Pedido!D20)</f>
        <v/>
      </c>
      <c r="D20" s="20">
        <f>IF(Pedido!A20="","",Pedido!C20)</f>
        <v/>
      </c>
      <c r="E20" s="20">
        <f>IF(A20="","",SUMIFS(Enviado!$C$3:$C$101,Enviado!$A$3:$A$101,A20))</f>
        <v/>
      </c>
      <c r="F20" s="21">
        <f>IF(A20="","",E20-D20)</f>
        <v/>
      </c>
      <c r="G20" s="22">
        <f>IF(A20="","",IFERROR(E20/D20,""))</f>
        <v/>
      </c>
      <c r="H20" s="23">
        <f>IF(A20="","",F20*C20)</f>
        <v/>
      </c>
      <c r="I20" s="24">
        <f>IF(A20="","",IF(F20=0,"OK",IF(F20&lt;0,"Faltante","Sobrante")))</f>
        <v/>
      </c>
    </row>
    <row r="21">
      <c r="A21" s="18">
        <f>IF(Pedido!A21="","",Pedido!A21)</f>
        <v/>
      </c>
      <c r="B21" s="18">
        <f>IF(Pedido!A21="","",Pedido!B21)</f>
        <v/>
      </c>
      <c r="C21" s="19">
        <f>IF(Pedido!A21="","",Pedido!D21)</f>
        <v/>
      </c>
      <c r="D21" s="20">
        <f>IF(Pedido!A21="","",Pedido!C21)</f>
        <v/>
      </c>
      <c r="E21" s="20">
        <f>IF(A21="","",SUMIFS(Enviado!$C$3:$C$101,Enviado!$A$3:$A$101,A21))</f>
        <v/>
      </c>
      <c r="F21" s="21">
        <f>IF(A21="","",E21-D21)</f>
        <v/>
      </c>
      <c r="G21" s="22">
        <f>IF(A21="","",IFERROR(E21/D21,""))</f>
        <v/>
      </c>
      <c r="H21" s="23">
        <f>IF(A21="","",F21*C21)</f>
        <v/>
      </c>
      <c r="I21" s="24">
        <f>IF(A21="","",IF(F21=0,"OK",IF(F21&lt;0,"Faltante","Sobrante")))</f>
        <v/>
      </c>
    </row>
    <row r="22">
      <c r="A22" s="18">
        <f>IF(Pedido!A22="","",Pedido!A22)</f>
        <v/>
      </c>
      <c r="B22" s="18">
        <f>IF(Pedido!A22="","",Pedido!B22)</f>
        <v/>
      </c>
      <c r="C22" s="19">
        <f>IF(Pedido!A22="","",Pedido!D22)</f>
        <v/>
      </c>
      <c r="D22" s="20">
        <f>IF(Pedido!A22="","",Pedido!C22)</f>
        <v/>
      </c>
      <c r="E22" s="20">
        <f>IF(A22="","",SUMIFS(Enviado!$C$3:$C$101,Enviado!$A$3:$A$101,A22))</f>
        <v/>
      </c>
      <c r="F22" s="21">
        <f>IF(A22="","",E22-D22)</f>
        <v/>
      </c>
      <c r="G22" s="22">
        <f>IF(A22="","",IFERROR(E22/D22,""))</f>
        <v/>
      </c>
      <c r="H22" s="23">
        <f>IF(A22="","",F22*C22)</f>
        <v/>
      </c>
      <c r="I22" s="24">
        <f>IF(A22="","",IF(F22=0,"OK",IF(F22&lt;0,"Faltante","Sobrante")))</f>
        <v/>
      </c>
    </row>
    <row r="23">
      <c r="A23" s="18">
        <f>IF(Pedido!A23="","",Pedido!A23)</f>
        <v/>
      </c>
      <c r="B23" s="18">
        <f>IF(Pedido!A23="","",Pedido!B23)</f>
        <v/>
      </c>
      <c r="C23" s="19">
        <f>IF(Pedido!A23="","",Pedido!D23)</f>
        <v/>
      </c>
      <c r="D23" s="20">
        <f>IF(Pedido!A23="","",Pedido!C23)</f>
        <v/>
      </c>
      <c r="E23" s="20">
        <f>IF(A23="","",SUMIFS(Enviado!$C$3:$C$101,Enviado!$A$3:$A$101,A23))</f>
        <v/>
      </c>
      <c r="F23" s="21">
        <f>IF(A23="","",E23-D23)</f>
        <v/>
      </c>
      <c r="G23" s="22">
        <f>IF(A23="","",IFERROR(E23/D23,""))</f>
        <v/>
      </c>
      <c r="H23" s="23">
        <f>IF(A23="","",F23*C23)</f>
        <v/>
      </c>
      <c r="I23" s="24">
        <f>IF(A23="","",IF(F23=0,"OK",IF(F23&lt;0,"Faltante","Sobrante")))</f>
        <v/>
      </c>
    </row>
    <row r="24">
      <c r="A24" s="18">
        <f>IF(Pedido!A24="","",Pedido!A24)</f>
        <v/>
      </c>
      <c r="B24" s="18">
        <f>IF(Pedido!A24="","",Pedido!B24)</f>
        <v/>
      </c>
      <c r="C24" s="19">
        <f>IF(Pedido!A24="","",Pedido!D24)</f>
        <v/>
      </c>
      <c r="D24" s="20">
        <f>IF(Pedido!A24="","",Pedido!C24)</f>
        <v/>
      </c>
      <c r="E24" s="20">
        <f>IF(A24="","",SUMIFS(Enviado!$C$3:$C$101,Enviado!$A$3:$A$101,A24))</f>
        <v/>
      </c>
      <c r="F24" s="21">
        <f>IF(A24="","",E24-D24)</f>
        <v/>
      </c>
      <c r="G24" s="22">
        <f>IF(A24="","",IFERROR(E24/D24,""))</f>
        <v/>
      </c>
      <c r="H24" s="23">
        <f>IF(A24="","",F24*C24)</f>
        <v/>
      </c>
      <c r="I24" s="24">
        <f>IF(A24="","",IF(F24=0,"OK",IF(F24&lt;0,"Faltante","Sobrante")))</f>
        <v/>
      </c>
    </row>
    <row r="25">
      <c r="A25" s="18">
        <f>IF(Pedido!A25="","",Pedido!A25)</f>
        <v/>
      </c>
      <c r="B25" s="18">
        <f>IF(Pedido!A25="","",Pedido!B25)</f>
        <v/>
      </c>
      <c r="C25" s="19">
        <f>IF(Pedido!A25="","",Pedido!D25)</f>
        <v/>
      </c>
      <c r="D25" s="20">
        <f>IF(Pedido!A25="","",Pedido!C25)</f>
        <v/>
      </c>
      <c r="E25" s="20">
        <f>IF(A25="","",SUMIFS(Enviado!$C$3:$C$101,Enviado!$A$3:$A$101,A25))</f>
        <v/>
      </c>
      <c r="F25" s="21">
        <f>IF(A25="","",E25-D25)</f>
        <v/>
      </c>
      <c r="G25" s="22">
        <f>IF(A25="","",IFERROR(E25/D25,""))</f>
        <v/>
      </c>
      <c r="H25" s="23">
        <f>IF(A25="","",F25*C25)</f>
        <v/>
      </c>
      <c r="I25" s="24">
        <f>IF(A25="","",IF(F25=0,"OK",IF(F25&lt;0,"Faltante","Sobrante")))</f>
        <v/>
      </c>
    </row>
    <row r="26">
      <c r="A26" s="18">
        <f>IF(Pedido!A26="","",Pedido!A26)</f>
        <v/>
      </c>
      <c r="B26" s="18">
        <f>IF(Pedido!A26="","",Pedido!B26)</f>
        <v/>
      </c>
      <c r="C26" s="19">
        <f>IF(Pedido!A26="","",Pedido!D26)</f>
        <v/>
      </c>
      <c r="D26" s="20">
        <f>IF(Pedido!A26="","",Pedido!C26)</f>
        <v/>
      </c>
      <c r="E26" s="20">
        <f>IF(A26="","",SUMIFS(Enviado!$C$3:$C$101,Enviado!$A$3:$A$101,A26))</f>
        <v/>
      </c>
      <c r="F26" s="21">
        <f>IF(A26="","",E26-D26)</f>
        <v/>
      </c>
      <c r="G26" s="22">
        <f>IF(A26="","",IFERROR(E26/D26,""))</f>
        <v/>
      </c>
      <c r="H26" s="23">
        <f>IF(A26="","",F26*C26)</f>
        <v/>
      </c>
      <c r="I26" s="24">
        <f>IF(A26="","",IF(F26=0,"OK",IF(F26&lt;0,"Faltante","Sobrante")))</f>
        <v/>
      </c>
    </row>
    <row r="27">
      <c r="A27" s="18">
        <f>IF(Pedido!A27="","",Pedido!A27)</f>
        <v/>
      </c>
      <c r="B27" s="18">
        <f>IF(Pedido!A27="","",Pedido!B27)</f>
        <v/>
      </c>
      <c r="C27" s="19">
        <f>IF(Pedido!A27="","",Pedido!D27)</f>
        <v/>
      </c>
      <c r="D27" s="20">
        <f>IF(Pedido!A27="","",Pedido!C27)</f>
        <v/>
      </c>
      <c r="E27" s="20">
        <f>IF(A27="","",SUMIFS(Enviado!$C$3:$C$101,Enviado!$A$3:$A$101,A27))</f>
        <v/>
      </c>
      <c r="F27" s="21">
        <f>IF(A27="","",E27-D27)</f>
        <v/>
      </c>
      <c r="G27" s="22">
        <f>IF(A27="","",IFERROR(E27/D27,""))</f>
        <v/>
      </c>
      <c r="H27" s="23">
        <f>IF(A27="","",F27*C27)</f>
        <v/>
      </c>
      <c r="I27" s="24">
        <f>IF(A27="","",IF(F27=0,"OK",IF(F27&lt;0,"Faltante","Sobrante")))</f>
        <v/>
      </c>
    </row>
    <row r="28">
      <c r="A28" s="18">
        <f>IF(Pedido!A28="","",Pedido!A28)</f>
        <v/>
      </c>
      <c r="B28" s="18">
        <f>IF(Pedido!A28="","",Pedido!B28)</f>
        <v/>
      </c>
      <c r="C28" s="19">
        <f>IF(Pedido!A28="","",Pedido!D28)</f>
        <v/>
      </c>
      <c r="D28" s="20">
        <f>IF(Pedido!A28="","",Pedido!C28)</f>
        <v/>
      </c>
      <c r="E28" s="20">
        <f>IF(A28="","",SUMIFS(Enviado!$C$3:$C$101,Enviado!$A$3:$A$101,A28))</f>
        <v/>
      </c>
      <c r="F28" s="21">
        <f>IF(A28="","",E28-D28)</f>
        <v/>
      </c>
      <c r="G28" s="22">
        <f>IF(A28="","",IFERROR(E28/D28,""))</f>
        <v/>
      </c>
      <c r="H28" s="23">
        <f>IF(A28="","",F28*C28)</f>
        <v/>
      </c>
      <c r="I28" s="24">
        <f>IF(A28="","",IF(F28=0,"OK",IF(F28&lt;0,"Faltante","Sobrante")))</f>
        <v/>
      </c>
    </row>
    <row r="29">
      <c r="A29" s="18">
        <f>IF(Pedido!A29="","",Pedido!A29)</f>
        <v/>
      </c>
      <c r="B29" s="18">
        <f>IF(Pedido!A29="","",Pedido!B29)</f>
        <v/>
      </c>
      <c r="C29" s="19">
        <f>IF(Pedido!A29="","",Pedido!D29)</f>
        <v/>
      </c>
      <c r="D29" s="20">
        <f>IF(Pedido!A29="","",Pedido!C29)</f>
        <v/>
      </c>
      <c r="E29" s="20">
        <f>IF(A29="","",SUMIFS(Enviado!$C$3:$C$101,Enviado!$A$3:$A$101,A29))</f>
        <v/>
      </c>
      <c r="F29" s="21">
        <f>IF(A29="","",E29-D29)</f>
        <v/>
      </c>
      <c r="G29" s="22">
        <f>IF(A29="","",IFERROR(E29/D29,""))</f>
        <v/>
      </c>
      <c r="H29" s="23">
        <f>IF(A29="","",F29*C29)</f>
        <v/>
      </c>
      <c r="I29" s="24">
        <f>IF(A29="","",IF(F29=0,"OK",IF(F29&lt;0,"Faltante","Sobrante")))</f>
        <v/>
      </c>
    </row>
    <row r="30">
      <c r="A30" s="18">
        <f>IF(Pedido!A30="","",Pedido!A30)</f>
        <v/>
      </c>
      <c r="B30" s="18">
        <f>IF(Pedido!A30="","",Pedido!B30)</f>
        <v/>
      </c>
      <c r="C30" s="19">
        <f>IF(Pedido!A30="","",Pedido!D30)</f>
        <v/>
      </c>
      <c r="D30" s="20">
        <f>IF(Pedido!A30="","",Pedido!C30)</f>
        <v/>
      </c>
      <c r="E30" s="20">
        <f>IF(A30="","",SUMIFS(Enviado!$C$3:$C$101,Enviado!$A$3:$A$101,A30))</f>
        <v/>
      </c>
      <c r="F30" s="21">
        <f>IF(A30="","",E30-D30)</f>
        <v/>
      </c>
      <c r="G30" s="22">
        <f>IF(A30="","",IFERROR(E30/D30,""))</f>
        <v/>
      </c>
      <c r="H30" s="23">
        <f>IF(A30="","",F30*C30)</f>
        <v/>
      </c>
      <c r="I30" s="24">
        <f>IF(A30="","",IF(F30=0,"OK",IF(F30&lt;0,"Faltante","Sobrante")))</f>
        <v/>
      </c>
    </row>
    <row r="31">
      <c r="A31" s="18">
        <f>IF(Pedido!A31="","",Pedido!A31)</f>
        <v/>
      </c>
      <c r="B31" s="18">
        <f>IF(Pedido!A31="","",Pedido!B31)</f>
        <v/>
      </c>
      <c r="C31" s="19">
        <f>IF(Pedido!A31="","",Pedido!D31)</f>
        <v/>
      </c>
      <c r="D31" s="20">
        <f>IF(Pedido!A31="","",Pedido!C31)</f>
        <v/>
      </c>
      <c r="E31" s="20">
        <f>IF(A31="","",SUMIFS(Enviado!$C$3:$C$101,Enviado!$A$3:$A$101,A31))</f>
        <v/>
      </c>
      <c r="F31" s="21">
        <f>IF(A31="","",E31-D31)</f>
        <v/>
      </c>
      <c r="G31" s="22">
        <f>IF(A31="","",IFERROR(E31/D31,""))</f>
        <v/>
      </c>
      <c r="H31" s="23">
        <f>IF(A31="","",F31*C31)</f>
        <v/>
      </c>
      <c r="I31" s="24">
        <f>IF(A31="","",IF(F31=0,"OK",IF(F31&lt;0,"Faltante","Sobrante")))</f>
        <v/>
      </c>
    </row>
    <row r="32">
      <c r="A32" s="18">
        <f>IF(Pedido!A32="","",Pedido!A32)</f>
        <v/>
      </c>
      <c r="B32" s="18">
        <f>IF(Pedido!A32="","",Pedido!B32)</f>
        <v/>
      </c>
      <c r="C32" s="19">
        <f>IF(Pedido!A32="","",Pedido!D32)</f>
        <v/>
      </c>
      <c r="D32" s="20">
        <f>IF(Pedido!A32="","",Pedido!C32)</f>
        <v/>
      </c>
      <c r="E32" s="20">
        <f>IF(A32="","",SUMIFS(Enviado!$C$3:$C$101,Enviado!$A$3:$A$101,A32))</f>
        <v/>
      </c>
      <c r="F32" s="21">
        <f>IF(A32="","",E32-D32)</f>
        <v/>
      </c>
      <c r="G32" s="22">
        <f>IF(A32="","",IFERROR(E32/D32,""))</f>
        <v/>
      </c>
      <c r="H32" s="23">
        <f>IF(A32="","",F32*C32)</f>
        <v/>
      </c>
      <c r="I32" s="24">
        <f>IF(A32="","",IF(F32=0,"OK",IF(F32&lt;0,"Faltante","Sobrante")))</f>
        <v/>
      </c>
    </row>
    <row r="33">
      <c r="A33" s="18">
        <f>IF(Pedido!A33="","",Pedido!A33)</f>
        <v/>
      </c>
      <c r="B33" s="18">
        <f>IF(Pedido!A33="","",Pedido!B33)</f>
        <v/>
      </c>
      <c r="C33" s="19">
        <f>IF(Pedido!A33="","",Pedido!D33)</f>
        <v/>
      </c>
      <c r="D33" s="20">
        <f>IF(Pedido!A33="","",Pedido!C33)</f>
        <v/>
      </c>
      <c r="E33" s="20">
        <f>IF(A33="","",SUMIFS(Enviado!$C$3:$C$101,Enviado!$A$3:$A$101,A33))</f>
        <v/>
      </c>
      <c r="F33" s="21">
        <f>IF(A33="","",E33-D33)</f>
        <v/>
      </c>
      <c r="G33" s="22">
        <f>IF(A33="","",IFERROR(E33/D33,""))</f>
        <v/>
      </c>
      <c r="H33" s="23">
        <f>IF(A33="","",F33*C33)</f>
        <v/>
      </c>
      <c r="I33" s="24">
        <f>IF(A33="","",IF(F33=0,"OK",IF(F33&lt;0,"Faltante","Sobrante")))</f>
        <v/>
      </c>
    </row>
    <row r="34">
      <c r="A34" s="18">
        <f>IF(Pedido!A34="","",Pedido!A34)</f>
        <v/>
      </c>
      <c r="B34" s="18">
        <f>IF(Pedido!A34="","",Pedido!B34)</f>
        <v/>
      </c>
      <c r="C34" s="19">
        <f>IF(Pedido!A34="","",Pedido!D34)</f>
        <v/>
      </c>
      <c r="D34" s="20">
        <f>IF(Pedido!A34="","",Pedido!C34)</f>
        <v/>
      </c>
      <c r="E34" s="20">
        <f>IF(A34="","",SUMIFS(Enviado!$C$3:$C$101,Enviado!$A$3:$A$101,A34))</f>
        <v/>
      </c>
      <c r="F34" s="21">
        <f>IF(A34="","",E34-D34)</f>
        <v/>
      </c>
      <c r="G34" s="22">
        <f>IF(A34="","",IFERROR(E34/D34,""))</f>
        <v/>
      </c>
      <c r="H34" s="23">
        <f>IF(A34="","",F34*C34)</f>
        <v/>
      </c>
      <c r="I34" s="24">
        <f>IF(A34="","",IF(F34=0,"OK",IF(F34&lt;0,"Faltante","Sobrante")))</f>
        <v/>
      </c>
    </row>
    <row r="35">
      <c r="A35" s="18">
        <f>IF(Pedido!A35="","",Pedido!A35)</f>
        <v/>
      </c>
      <c r="B35" s="18">
        <f>IF(Pedido!A35="","",Pedido!B35)</f>
        <v/>
      </c>
      <c r="C35" s="19">
        <f>IF(Pedido!A35="","",Pedido!D35)</f>
        <v/>
      </c>
      <c r="D35" s="20">
        <f>IF(Pedido!A35="","",Pedido!C35)</f>
        <v/>
      </c>
      <c r="E35" s="20">
        <f>IF(A35="","",SUMIFS(Enviado!$C$3:$C$101,Enviado!$A$3:$A$101,A35))</f>
        <v/>
      </c>
      <c r="F35" s="21">
        <f>IF(A35="","",E35-D35)</f>
        <v/>
      </c>
      <c r="G35" s="22">
        <f>IF(A35="","",IFERROR(E35/D35,""))</f>
        <v/>
      </c>
      <c r="H35" s="23">
        <f>IF(A35="","",F35*C35)</f>
        <v/>
      </c>
      <c r="I35" s="24">
        <f>IF(A35="","",IF(F35=0,"OK",IF(F35&lt;0,"Faltante","Sobrante")))</f>
        <v/>
      </c>
    </row>
    <row r="36">
      <c r="A36" s="18">
        <f>IF(Pedido!A36="","",Pedido!A36)</f>
        <v/>
      </c>
      <c r="B36" s="18">
        <f>IF(Pedido!A36="","",Pedido!B36)</f>
        <v/>
      </c>
      <c r="C36" s="19">
        <f>IF(Pedido!A36="","",Pedido!D36)</f>
        <v/>
      </c>
      <c r="D36" s="20">
        <f>IF(Pedido!A36="","",Pedido!C36)</f>
        <v/>
      </c>
      <c r="E36" s="20">
        <f>IF(A36="","",SUMIFS(Enviado!$C$3:$C$101,Enviado!$A$3:$A$101,A36))</f>
        <v/>
      </c>
      <c r="F36" s="21">
        <f>IF(A36="","",E36-D36)</f>
        <v/>
      </c>
      <c r="G36" s="22">
        <f>IF(A36="","",IFERROR(E36/D36,""))</f>
        <v/>
      </c>
      <c r="H36" s="23">
        <f>IF(A36="","",F36*C36)</f>
        <v/>
      </c>
      <c r="I36" s="24">
        <f>IF(A36="","",IF(F36=0,"OK",IF(F36&lt;0,"Faltante","Sobrante")))</f>
        <v/>
      </c>
    </row>
    <row r="37">
      <c r="A37" s="18">
        <f>IF(Pedido!A37="","",Pedido!A37)</f>
        <v/>
      </c>
      <c r="B37" s="18">
        <f>IF(Pedido!A37="","",Pedido!B37)</f>
        <v/>
      </c>
      <c r="C37" s="19">
        <f>IF(Pedido!A37="","",Pedido!D37)</f>
        <v/>
      </c>
      <c r="D37" s="20">
        <f>IF(Pedido!A37="","",Pedido!C37)</f>
        <v/>
      </c>
      <c r="E37" s="20">
        <f>IF(A37="","",SUMIFS(Enviado!$C$3:$C$101,Enviado!$A$3:$A$101,A37))</f>
        <v/>
      </c>
      <c r="F37" s="21">
        <f>IF(A37="","",E37-D37)</f>
        <v/>
      </c>
      <c r="G37" s="22">
        <f>IF(A37="","",IFERROR(E37/D37,""))</f>
        <v/>
      </c>
      <c r="H37" s="23">
        <f>IF(A37="","",F37*C37)</f>
        <v/>
      </c>
      <c r="I37" s="24">
        <f>IF(A37="","",IF(F37=0,"OK",IF(F37&lt;0,"Faltante","Sobrante")))</f>
        <v/>
      </c>
    </row>
    <row r="38">
      <c r="A38" s="18">
        <f>IF(Pedido!A38="","",Pedido!A38)</f>
        <v/>
      </c>
      <c r="B38" s="18">
        <f>IF(Pedido!A38="","",Pedido!B38)</f>
        <v/>
      </c>
      <c r="C38" s="19">
        <f>IF(Pedido!A38="","",Pedido!D38)</f>
        <v/>
      </c>
      <c r="D38" s="20">
        <f>IF(Pedido!A38="","",Pedido!C38)</f>
        <v/>
      </c>
      <c r="E38" s="20">
        <f>IF(A38="","",SUMIFS(Enviado!$C$3:$C$101,Enviado!$A$3:$A$101,A38))</f>
        <v/>
      </c>
      <c r="F38" s="21">
        <f>IF(A38="","",E38-D38)</f>
        <v/>
      </c>
      <c r="G38" s="22">
        <f>IF(A38="","",IFERROR(E38/D38,""))</f>
        <v/>
      </c>
      <c r="H38" s="23">
        <f>IF(A38="","",F38*C38)</f>
        <v/>
      </c>
      <c r="I38" s="24">
        <f>IF(A38="","",IF(F38=0,"OK",IF(F38&lt;0,"Faltante","Sobrante")))</f>
        <v/>
      </c>
    </row>
    <row r="39">
      <c r="A39" s="18">
        <f>IF(Pedido!A39="","",Pedido!A39)</f>
        <v/>
      </c>
      <c r="B39" s="18">
        <f>IF(Pedido!A39="","",Pedido!B39)</f>
        <v/>
      </c>
      <c r="C39" s="19">
        <f>IF(Pedido!A39="","",Pedido!D39)</f>
        <v/>
      </c>
      <c r="D39" s="20">
        <f>IF(Pedido!A39="","",Pedido!C39)</f>
        <v/>
      </c>
      <c r="E39" s="20">
        <f>IF(A39="","",SUMIFS(Enviado!$C$3:$C$101,Enviado!$A$3:$A$101,A39))</f>
        <v/>
      </c>
      <c r="F39" s="21">
        <f>IF(A39="","",E39-D39)</f>
        <v/>
      </c>
      <c r="G39" s="22">
        <f>IF(A39="","",IFERROR(E39/D39,""))</f>
        <v/>
      </c>
      <c r="H39" s="23">
        <f>IF(A39="","",F39*C39)</f>
        <v/>
      </c>
      <c r="I39" s="24">
        <f>IF(A39="","",IF(F39=0,"OK",IF(F39&lt;0,"Faltante","Sobrante")))</f>
        <v/>
      </c>
    </row>
    <row r="40">
      <c r="A40" s="18">
        <f>IF(Pedido!A40="","",Pedido!A40)</f>
        <v/>
      </c>
      <c r="B40" s="18">
        <f>IF(Pedido!A40="","",Pedido!B40)</f>
        <v/>
      </c>
      <c r="C40" s="19">
        <f>IF(Pedido!A40="","",Pedido!D40)</f>
        <v/>
      </c>
      <c r="D40" s="20">
        <f>IF(Pedido!A40="","",Pedido!C40)</f>
        <v/>
      </c>
      <c r="E40" s="20">
        <f>IF(A40="","",SUMIFS(Enviado!$C$3:$C$101,Enviado!$A$3:$A$101,A40))</f>
        <v/>
      </c>
      <c r="F40" s="21">
        <f>IF(A40="","",E40-D40)</f>
        <v/>
      </c>
      <c r="G40" s="22">
        <f>IF(A40="","",IFERROR(E40/D40,""))</f>
        <v/>
      </c>
      <c r="H40" s="23">
        <f>IF(A40="","",F40*C40)</f>
        <v/>
      </c>
      <c r="I40" s="24">
        <f>IF(A40="","",IF(F40=0,"OK",IF(F40&lt;0,"Faltante","Sobrante")))</f>
        <v/>
      </c>
    </row>
    <row r="41">
      <c r="A41" s="18">
        <f>IF(Pedido!A41="","",Pedido!A41)</f>
        <v/>
      </c>
      <c r="B41" s="18">
        <f>IF(Pedido!A41="","",Pedido!B41)</f>
        <v/>
      </c>
      <c r="C41" s="19">
        <f>IF(Pedido!A41="","",Pedido!D41)</f>
        <v/>
      </c>
      <c r="D41" s="20">
        <f>IF(Pedido!A41="","",Pedido!C41)</f>
        <v/>
      </c>
      <c r="E41" s="20">
        <f>IF(A41="","",SUMIFS(Enviado!$C$3:$C$101,Enviado!$A$3:$A$101,A41))</f>
        <v/>
      </c>
      <c r="F41" s="21">
        <f>IF(A41="","",E41-D41)</f>
        <v/>
      </c>
      <c r="G41" s="22">
        <f>IF(A41="","",IFERROR(E41/D41,""))</f>
        <v/>
      </c>
      <c r="H41" s="23">
        <f>IF(A41="","",F41*C41)</f>
        <v/>
      </c>
      <c r="I41" s="24">
        <f>IF(A41="","",IF(F41=0,"OK",IF(F41&lt;0,"Faltante","Sobrante")))</f>
        <v/>
      </c>
    </row>
    <row r="42">
      <c r="A42" s="18">
        <f>IF(Pedido!A42="","",Pedido!A42)</f>
        <v/>
      </c>
      <c r="B42" s="18">
        <f>IF(Pedido!A42="","",Pedido!B42)</f>
        <v/>
      </c>
      <c r="C42" s="19">
        <f>IF(Pedido!A42="","",Pedido!D42)</f>
        <v/>
      </c>
      <c r="D42" s="20">
        <f>IF(Pedido!A42="","",Pedido!C42)</f>
        <v/>
      </c>
      <c r="E42" s="20">
        <f>IF(A42="","",SUMIFS(Enviado!$C$3:$C$101,Enviado!$A$3:$A$101,A42))</f>
        <v/>
      </c>
      <c r="F42" s="21">
        <f>IF(A42="","",E42-D42)</f>
        <v/>
      </c>
      <c r="G42" s="22">
        <f>IF(A42="","",IFERROR(E42/D42,""))</f>
        <v/>
      </c>
      <c r="H42" s="23">
        <f>IF(A42="","",F42*C42)</f>
        <v/>
      </c>
      <c r="I42" s="24">
        <f>IF(A42="","",IF(F42=0,"OK",IF(F42&lt;0,"Faltante","Sobrante")))</f>
        <v/>
      </c>
    </row>
    <row r="43">
      <c r="A43" s="18">
        <f>IF(Pedido!A43="","",Pedido!A43)</f>
        <v/>
      </c>
      <c r="B43" s="18">
        <f>IF(Pedido!A43="","",Pedido!B43)</f>
        <v/>
      </c>
      <c r="C43" s="19">
        <f>IF(Pedido!A43="","",Pedido!D43)</f>
        <v/>
      </c>
      <c r="D43" s="20">
        <f>IF(Pedido!A43="","",Pedido!C43)</f>
        <v/>
      </c>
      <c r="E43" s="20">
        <f>IF(A43="","",SUMIFS(Enviado!$C$3:$C$101,Enviado!$A$3:$A$101,A43))</f>
        <v/>
      </c>
      <c r="F43" s="21">
        <f>IF(A43="","",E43-D43)</f>
        <v/>
      </c>
      <c r="G43" s="22">
        <f>IF(A43="","",IFERROR(E43/D43,""))</f>
        <v/>
      </c>
      <c r="H43" s="23">
        <f>IF(A43="","",F43*C43)</f>
        <v/>
      </c>
      <c r="I43" s="24">
        <f>IF(A43="","",IF(F43=0,"OK",IF(F43&lt;0,"Faltante","Sobrante")))</f>
        <v/>
      </c>
    </row>
    <row r="44">
      <c r="A44" s="18">
        <f>IF(Pedido!A44="","",Pedido!A44)</f>
        <v/>
      </c>
      <c r="B44" s="18">
        <f>IF(Pedido!A44="","",Pedido!B44)</f>
        <v/>
      </c>
      <c r="C44" s="19">
        <f>IF(Pedido!A44="","",Pedido!D44)</f>
        <v/>
      </c>
      <c r="D44" s="20">
        <f>IF(Pedido!A44="","",Pedido!C44)</f>
        <v/>
      </c>
      <c r="E44" s="20">
        <f>IF(A44="","",SUMIFS(Enviado!$C$3:$C$101,Enviado!$A$3:$A$101,A44))</f>
        <v/>
      </c>
      <c r="F44" s="21">
        <f>IF(A44="","",E44-D44)</f>
        <v/>
      </c>
      <c r="G44" s="22">
        <f>IF(A44="","",IFERROR(E44/D44,""))</f>
        <v/>
      </c>
      <c r="H44" s="23">
        <f>IF(A44="","",F44*C44)</f>
        <v/>
      </c>
      <c r="I44" s="24">
        <f>IF(A44="","",IF(F44=0,"OK",IF(F44&lt;0,"Faltante","Sobrante")))</f>
        <v/>
      </c>
    </row>
    <row r="45">
      <c r="A45" s="18">
        <f>IF(Pedido!A45="","",Pedido!A45)</f>
        <v/>
      </c>
      <c r="B45" s="18">
        <f>IF(Pedido!A45="","",Pedido!B45)</f>
        <v/>
      </c>
      <c r="C45" s="19">
        <f>IF(Pedido!A45="","",Pedido!D45)</f>
        <v/>
      </c>
      <c r="D45" s="20">
        <f>IF(Pedido!A45="","",Pedido!C45)</f>
        <v/>
      </c>
      <c r="E45" s="20">
        <f>IF(A45="","",SUMIFS(Enviado!$C$3:$C$101,Enviado!$A$3:$A$101,A45))</f>
        <v/>
      </c>
      <c r="F45" s="21">
        <f>IF(A45="","",E45-D45)</f>
        <v/>
      </c>
      <c r="G45" s="22">
        <f>IF(A45="","",IFERROR(E45/D45,""))</f>
        <v/>
      </c>
      <c r="H45" s="23">
        <f>IF(A45="","",F45*C45)</f>
        <v/>
      </c>
      <c r="I45" s="24">
        <f>IF(A45="","",IF(F45=0,"OK",IF(F45&lt;0,"Faltante","Sobrante")))</f>
        <v/>
      </c>
    </row>
    <row r="46">
      <c r="A46" s="18">
        <f>IF(Pedido!A46="","",Pedido!A46)</f>
        <v/>
      </c>
      <c r="B46" s="18">
        <f>IF(Pedido!A46="","",Pedido!B46)</f>
        <v/>
      </c>
      <c r="C46" s="19">
        <f>IF(Pedido!A46="","",Pedido!D46)</f>
        <v/>
      </c>
      <c r="D46" s="20">
        <f>IF(Pedido!A46="","",Pedido!C46)</f>
        <v/>
      </c>
      <c r="E46" s="20">
        <f>IF(A46="","",SUMIFS(Enviado!$C$3:$C$101,Enviado!$A$3:$A$101,A46))</f>
        <v/>
      </c>
      <c r="F46" s="21">
        <f>IF(A46="","",E46-D46)</f>
        <v/>
      </c>
      <c r="G46" s="22">
        <f>IF(A46="","",IFERROR(E46/D46,""))</f>
        <v/>
      </c>
      <c r="H46" s="23">
        <f>IF(A46="","",F46*C46)</f>
        <v/>
      </c>
      <c r="I46" s="24">
        <f>IF(A46="","",IF(F46=0,"OK",IF(F46&lt;0,"Faltante","Sobrante")))</f>
        <v/>
      </c>
    </row>
    <row r="47">
      <c r="A47" s="18">
        <f>IF(Pedido!A47="","",Pedido!A47)</f>
        <v/>
      </c>
      <c r="B47" s="18">
        <f>IF(Pedido!A47="","",Pedido!B47)</f>
        <v/>
      </c>
      <c r="C47" s="19">
        <f>IF(Pedido!A47="","",Pedido!D47)</f>
        <v/>
      </c>
      <c r="D47" s="20">
        <f>IF(Pedido!A47="","",Pedido!C47)</f>
        <v/>
      </c>
      <c r="E47" s="20">
        <f>IF(A47="","",SUMIFS(Enviado!$C$3:$C$101,Enviado!$A$3:$A$101,A47))</f>
        <v/>
      </c>
      <c r="F47" s="21">
        <f>IF(A47="","",E47-D47)</f>
        <v/>
      </c>
      <c r="G47" s="22">
        <f>IF(A47="","",IFERROR(E47/D47,""))</f>
        <v/>
      </c>
      <c r="H47" s="23">
        <f>IF(A47="","",F47*C47)</f>
        <v/>
      </c>
      <c r="I47" s="24">
        <f>IF(A47="","",IF(F47=0,"OK",IF(F47&lt;0,"Faltante","Sobrante")))</f>
        <v/>
      </c>
    </row>
    <row r="48">
      <c r="A48" s="18">
        <f>IF(Pedido!A48="","",Pedido!A48)</f>
        <v/>
      </c>
      <c r="B48" s="18">
        <f>IF(Pedido!A48="","",Pedido!B48)</f>
        <v/>
      </c>
      <c r="C48" s="19">
        <f>IF(Pedido!A48="","",Pedido!D48)</f>
        <v/>
      </c>
      <c r="D48" s="20">
        <f>IF(Pedido!A48="","",Pedido!C48)</f>
        <v/>
      </c>
      <c r="E48" s="20">
        <f>IF(A48="","",SUMIFS(Enviado!$C$3:$C$101,Enviado!$A$3:$A$101,A48))</f>
        <v/>
      </c>
      <c r="F48" s="21">
        <f>IF(A48="","",E48-D48)</f>
        <v/>
      </c>
      <c r="G48" s="22">
        <f>IF(A48="","",IFERROR(E48/D48,""))</f>
        <v/>
      </c>
      <c r="H48" s="23">
        <f>IF(A48="","",F48*C48)</f>
        <v/>
      </c>
      <c r="I48" s="24">
        <f>IF(A48="","",IF(F48=0,"OK",IF(F48&lt;0,"Faltante","Sobrante")))</f>
        <v/>
      </c>
    </row>
    <row r="49">
      <c r="A49" s="18">
        <f>IF(Pedido!A49="","",Pedido!A49)</f>
        <v/>
      </c>
      <c r="B49" s="18">
        <f>IF(Pedido!A49="","",Pedido!B49)</f>
        <v/>
      </c>
      <c r="C49" s="19">
        <f>IF(Pedido!A49="","",Pedido!D49)</f>
        <v/>
      </c>
      <c r="D49" s="20">
        <f>IF(Pedido!A49="","",Pedido!C49)</f>
        <v/>
      </c>
      <c r="E49" s="20">
        <f>IF(A49="","",SUMIFS(Enviado!$C$3:$C$101,Enviado!$A$3:$A$101,A49))</f>
        <v/>
      </c>
      <c r="F49" s="21">
        <f>IF(A49="","",E49-D49)</f>
        <v/>
      </c>
      <c r="G49" s="22">
        <f>IF(A49="","",IFERROR(E49/D49,""))</f>
        <v/>
      </c>
      <c r="H49" s="23">
        <f>IF(A49="","",F49*C49)</f>
        <v/>
      </c>
      <c r="I49" s="24">
        <f>IF(A49="","",IF(F49=0,"OK",IF(F49&lt;0,"Faltante","Sobrante")))</f>
        <v/>
      </c>
    </row>
    <row r="50">
      <c r="A50" s="18">
        <f>IF(Pedido!A50="","",Pedido!A50)</f>
        <v/>
      </c>
      <c r="B50" s="18">
        <f>IF(Pedido!A50="","",Pedido!B50)</f>
        <v/>
      </c>
      <c r="C50" s="19">
        <f>IF(Pedido!A50="","",Pedido!D50)</f>
        <v/>
      </c>
      <c r="D50" s="20">
        <f>IF(Pedido!A50="","",Pedido!C50)</f>
        <v/>
      </c>
      <c r="E50" s="20">
        <f>IF(A50="","",SUMIFS(Enviado!$C$3:$C$101,Enviado!$A$3:$A$101,A50))</f>
        <v/>
      </c>
      <c r="F50" s="21">
        <f>IF(A50="","",E50-D50)</f>
        <v/>
      </c>
      <c r="G50" s="22">
        <f>IF(A50="","",IFERROR(E50/D50,""))</f>
        <v/>
      </c>
      <c r="H50" s="23">
        <f>IF(A50="","",F50*C50)</f>
        <v/>
      </c>
      <c r="I50" s="24">
        <f>IF(A50="","",IF(F50=0,"OK",IF(F50&lt;0,"Faltante","Sobrante")))</f>
        <v/>
      </c>
    </row>
    <row r="51">
      <c r="A51" s="18">
        <f>IF(Pedido!A51="","",Pedido!A51)</f>
        <v/>
      </c>
      <c r="B51" s="18">
        <f>IF(Pedido!A51="","",Pedido!B51)</f>
        <v/>
      </c>
      <c r="C51" s="19">
        <f>IF(Pedido!A51="","",Pedido!D51)</f>
        <v/>
      </c>
      <c r="D51" s="20">
        <f>IF(Pedido!A51="","",Pedido!C51)</f>
        <v/>
      </c>
      <c r="E51" s="20">
        <f>IF(A51="","",SUMIFS(Enviado!$C$3:$C$101,Enviado!$A$3:$A$101,A51))</f>
        <v/>
      </c>
      <c r="F51" s="21">
        <f>IF(A51="","",E51-D51)</f>
        <v/>
      </c>
      <c r="G51" s="22">
        <f>IF(A51="","",IFERROR(E51/D51,""))</f>
        <v/>
      </c>
      <c r="H51" s="23">
        <f>IF(A51="","",F51*C51)</f>
        <v/>
      </c>
      <c r="I51" s="24">
        <f>IF(A51="","",IF(F51=0,"OK",IF(F51&lt;0,"Faltante","Sobrante")))</f>
        <v/>
      </c>
    </row>
    <row r="52">
      <c r="A52" s="18">
        <f>IF(Pedido!A52="","",Pedido!A52)</f>
        <v/>
      </c>
      <c r="B52" s="18">
        <f>IF(Pedido!A52="","",Pedido!B52)</f>
        <v/>
      </c>
      <c r="C52" s="19">
        <f>IF(Pedido!A52="","",Pedido!D52)</f>
        <v/>
      </c>
      <c r="D52" s="20">
        <f>IF(Pedido!A52="","",Pedido!C52)</f>
        <v/>
      </c>
      <c r="E52" s="20">
        <f>IF(A52="","",SUMIFS(Enviado!$C$3:$C$101,Enviado!$A$3:$A$101,A52))</f>
        <v/>
      </c>
      <c r="F52" s="21">
        <f>IF(A52="","",E52-D52)</f>
        <v/>
      </c>
      <c r="G52" s="22">
        <f>IF(A52="","",IFERROR(E52/D52,""))</f>
        <v/>
      </c>
      <c r="H52" s="23">
        <f>IF(A52="","",F52*C52)</f>
        <v/>
      </c>
      <c r="I52" s="24">
        <f>IF(A52="","",IF(F52=0,"OK",IF(F52&lt;0,"Faltante","Sobrante")))</f>
        <v/>
      </c>
    </row>
    <row r="53">
      <c r="A53" s="18">
        <f>IF(Pedido!A53="","",Pedido!A53)</f>
        <v/>
      </c>
      <c r="B53" s="18">
        <f>IF(Pedido!A53="","",Pedido!B53)</f>
        <v/>
      </c>
      <c r="C53" s="19">
        <f>IF(Pedido!A53="","",Pedido!D53)</f>
        <v/>
      </c>
      <c r="D53" s="20">
        <f>IF(Pedido!A53="","",Pedido!C53)</f>
        <v/>
      </c>
      <c r="E53" s="20">
        <f>IF(A53="","",SUMIFS(Enviado!$C$3:$C$101,Enviado!$A$3:$A$101,A53))</f>
        <v/>
      </c>
      <c r="F53" s="21">
        <f>IF(A53="","",E53-D53)</f>
        <v/>
      </c>
      <c r="G53" s="22">
        <f>IF(A53="","",IFERROR(E53/D53,""))</f>
        <v/>
      </c>
      <c r="H53" s="23">
        <f>IF(A53="","",F53*C53)</f>
        <v/>
      </c>
      <c r="I53" s="24">
        <f>IF(A53="","",IF(F53=0,"OK",IF(F53&lt;0,"Faltante","Sobrante")))</f>
        <v/>
      </c>
    </row>
    <row r="54">
      <c r="A54" s="18">
        <f>IF(Pedido!A54="","",Pedido!A54)</f>
        <v/>
      </c>
      <c r="B54" s="18">
        <f>IF(Pedido!A54="","",Pedido!B54)</f>
        <v/>
      </c>
      <c r="C54" s="19">
        <f>IF(Pedido!A54="","",Pedido!D54)</f>
        <v/>
      </c>
      <c r="D54" s="20">
        <f>IF(Pedido!A54="","",Pedido!C54)</f>
        <v/>
      </c>
      <c r="E54" s="20">
        <f>IF(A54="","",SUMIFS(Enviado!$C$3:$C$101,Enviado!$A$3:$A$101,A54))</f>
        <v/>
      </c>
      <c r="F54" s="21">
        <f>IF(A54="","",E54-D54)</f>
        <v/>
      </c>
      <c r="G54" s="22">
        <f>IF(A54="","",IFERROR(E54/D54,""))</f>
        <v/>
      </c>
      <c r="H54" s="23">
        <f>IF(A54="","",F54*C54)</f>
        <v/>
      </c>
      <c r="I54" s="24">
        <f>IF(A54="","",IF(F54=0,"OK",IF(F54&lt;0,"Faltante","Sobrante")))</f>
        <v/>
      </c>
    </row>
    <row r="55">
      <c r="A55" s="18">
        <f>IF(Pedido!A55="","",Pedido!A55)</f>
        <v/>
      </c>
      <c r="B55" s="18">
        <f>IF(Pedido!A55="","",Pedido!B55)</f>
        <v/>
      </c>
      <c r="C55" s="19">
        <f>IF(Pedido!A55="","",Pedido!D55)</f>
        <v/>
      </c>
      <c r="D55" s="20">
        <f>IF(Pedido!A55="","",Pedido!C55)</f>
        <v/>
      </c>
      <c r="E55" s="20">
        <f>IF(A55="","",SUMIFS(Enviado!$C$3:$C$101,Enviado!$A$3:$A$101,A55))</f>
        <v/>
      </c>
      <c r="F55" s="21">
        <f>IF(A55="","",E55-D55)</f>
        <v/>
      </c>
      <c r="G55" s="22">
        <f>IF(A55="","",IFERROR(E55/D55,""))</f>
        <v/>
      </c>
      <c r="H55" s="23">
        <f>IF(A55="","",F55*C55)</f>
        <v/>
      </c>
      <c r="I55" s="24">
        <f>IF(A55="","",IF(F55=0,"OK",IF(F55&lt;0,"Faltante","Sobrante")))</f>
        <v/>
      </c>
    </row>
    <row r="56">
      <c r="A56" s="18">
        <f>IF(Pedido!A56="","",Pedido!A56)</f>
        <v/>
      </c>
      <c r="B56" s="18">
        <f>IF(Pedido!A56="","",Pedido!B56)</f>
        <v/>
      </c>
      <c r="C56" s="19">
        <f>IF(Pedido!A56="","",Pedido!D56)</f>
        <v/>
      </c>
      <c r="D56" s="20">
        <f>IF(Pedido!A56="","",Pedido!C56)</f>
        <v/>
      </c>
      <c r="E56" s="20">
        <f>IF(A56="","",SUMIFS(Enviado!$C$3:$C$101,Enviado!$A$3:$A$101,A56))</f>
        <v/>
      </c>
      <c r="F56" s="21">
        <f>IF(A56="","",E56-D56)</f>
        <v/>
      </c>
      <c r="G56" s="22">
        <f>IF(A56="","",IFERROR(E56/D56,""))</f>
        <v/>
      </c>
      <c r="H56" s="23">
        <f>IF(A56="","",F56*C56)</f>
        <v/>
      </c>
      <c r="I56" s="24">
        <f>IF(A56="","",IF(F56=0,"OK",IF(F56&lt;0,"Faltante","Sobrante")))</f>
        <v/>
      </c>
    </row>
    <row r="57">
      <c r="A57" s="18">
        <f>IF(Pedido!A57="","",Pedido!A57)</f>
        <v/>
      </c>
      <c r="B57" s="18">
        <f>IF(Pedido!A57="","",Pedido!B57)</f>
        <v/>
      </c>
      <c r="C57" s="19">
        <f>IF(Pedido!A57="","",Pedido!D57)</f>
        <v/>
      </c>
      <c r="D57" s="20">
        <f>IF(Pedido!A57="","",Pedido!C57)</f>
        <v/>
      </c>
      <c r="E57" s="20">
        <f>IF(A57="","",SUMIFS(Enviado!$C$3:$C$101,Enviado!$A$3:$A$101,A57))</f>
        <v/>
      </c>
      <c r="F57" s="21">
        <f>IF(A57="","",E57-D57)</f>
        <v/>
      </c>
      <c r="G57" s="22">
        <f>IF(A57="","",IFERROR(E57/D57,""))</f>
        <v/>
      </c>
      <c r="H57" s="23">
        <f>IF(A57="","",F57*C57)</f>
        <v/>
      </c>
      <c r="I57" s="24">
        <f>IF(A57="","",IF(F57=0,"OK",IF(F57&lt;0,"Faltante","Sobrante")))</f>
        <v/>
      </c>
    </row>
    <row r="58">
      <c r="A58" s="18">
        <f>IF(Pedido!A58="","",Pedido!A58)</f>
        <v/>
      </c>
      <c r="B58" s="18">
        <f>IF(Pedido!A58="","",Pedido!B58)</f>
        <v/>
      </c>
      <c r="C58" s="19">
        <f>IF(Pedido!A58="","",Pedido!D58)</f>
        <v/>
      </c>
      <c r="D58" s="20">
        <f>IF(Pedido!A58="","",Pedido!C58)</f>
        <v/>
      </c>
      <c r="E58" s="20">
        <f>IF(A58="","",SUMIFS(Enviado!$C$3:$C$101,Enviado!$A$3:$A$101,A58))</f>
        <v/>
      </c>
      <c r="F58" s="21">
        <f>IF(A58="","",E58-D58)</f>
        <v/>
      </c>
      <c r="G58" s="22">
        <f>IF(A58="","",IFERROR(E58/D58,""))</f>
        <v/>
      </c>
      <c r="H58" s="23">
        <f>IF(A58="","",F58*C58)</f>
        <v/>
      </c>
      <c r="I58" s="24">
        <f>IF(A58="","",IF(F58=0,"OK",IF(F58&lt;0,"Faltante","Sobrante")))</f>
        <v/>
      </c>
    </row>
    <row r="59">
      <c r="A59" s="18">
        <f>IF(Pedido!A59="","",Pedido!A59)</f>
        <v/>
      </c>
      <c r="B59" s="18">
        <f>IF(Pedido!A59="","",Pedido!B59)</f>
        <v/>
      </c>
      <c r="C59" s="19">
        <f>IF(Pedido!A59="","",Pedido!D59)</f>
        <v/>
      </c>
      <c r="D59" s="20">
        <f>IF(Pedido!A59="","",Pedido!C59)</f>
        <v/>
      </c>
      <c r="E59" s="20">
        <f>IF(A59="","",SUMIFS(Enviado!$C$3:$C$101,Enviado!$A$3:$A$101,A59))</f>
        <v/>
      </c>
      <c r="F59" s="21">
        <f>IF(A59="","",E59-D59)</f>
        <v/>
      </c>
      <c r="G59" s="22">
        <f>IF(A59="","",IFERROR(E59/D59,""))</f>
        <v/>
      </c>
      <c r="H59" s="23">
        <f>IF(A59="","",F59*C59)</f>
        <v/>
      </c>
      <c r="I59" s="24">
        <f>IF(A59="","",IF(F59=0,"OK",IF(F59&lt;0,"Faltante","Sobrante")))</f>
        <v/>
      </c>
    </row>
    <row r="60">
      <c r="A60" s="18">
        <f>IF(Pedido!A60="","",Pedido!A60)</f>
        <v/>
      </c>
      <c r="B60" s="18">
        <f>IF(Pedido!A60="","",Pedido!B60)</f>
        <v/>
      </c>
      <c r="C60" s="19">
        <f>IF(Pedido!A60="","",Pedido!D60)</f>
        <v/>
      </c>
      <c r="D60" s="20">
        <f>IF(Pedido!A60="","",Pedido!C60)</f>
        <v/>
      </c>
      <c r="E60" s="20">
        <f>IF(A60="","",SUMIFS(Enviado!$C$3:$C$101,Enviado!$A$3:$A$101,A60))</f>
        <v/>
      </c>
      <c r="F60" s="21">
        <f>IF(A60="","",E60-D60)</f>
        <v/>
      </c>
      <c r="G60" s="22">
        <f>IF(A60="","",IFERROR(E60/D60,""))</f>
        <v/>
      </c>
      <c r="H60" s="23">
        <f>IF(A60="","",F60*C60)</f>
        <v/>
      </c>
      <c r="I60" s="24">
        <f>IF(A60="","",IF(F60=0,"OK",IF(F60&lt;0,"Faltante","Sobrante")))</f>
        <v/>
      </c>
    </row>
    <row r="61">
      <c r="A61" s="18">
        <f>IF(Pedido!A61="","",Pedido!A61)</f>
        <v/>
      </c>
      <c r="B61" s="18">
        <f>IF(Pedido!A61="","",Pedido!B61)</f>
        <v/>
      </c>
      <c r="C61" s="19">
        <f>IF(Pedido!A61="","",Pedido!D61)</f>
        <v/>
      </c>
      <c r="D61" s="20">
        <f>IF(Pedido!A61="","",Pedido!C61)</f>
        <v/>
      </c>
      <c r="E61" s="20">
        <f>IF(A61="","",SUMIFS(Enviado!$C$3:$C$101,Enviado!$A$3:$A$101,A61))</f>
        <v/>
      </c>
      <c r="F61" s="21">
        <f>IF(A61="","",E61-D61)</f>
        <v/>
      </c>
      <c r="G61" s="22">
        <f>IF(A61="","",IFERROR(E61/D61,""))</f>
        <v/>
      </c>
      <c r="H61" s="23">
        <f>IF(A61="","",F61*C61)</f>
        <v/>
      </c>
      <c r="I61" s="24">
        <f>IF(A61="","",IF(F61=0,"OK",IF(F61&lt;0,"Faltante","Sobrante")))</f>
        <v/>
      </c>
    </row>
    <row r="62">
      <c r="A62" s="18">
        <f>IF(Pedido!A62="","",Pedido!A62)</f>
        <v/>
      </c>
      <c r="B62" s="18">
        <f>IF(Pedido!A62="","",Pedido!B62)</f>
        <v/>
      </c>
      <c r="C62" s="19">
        <f>IF(Pedido!A62="","",Pedido!D62)</f>
        <v/>
      </c>
      <c r="D62" s="20">
        <f>IF(Pedido!A62="","",Pedido!C62)</f>
        <v/>
      </c>
      <c r="E62" s="20">
        <f>IF(A62="","",SUMIFS(Enviado!$C$3:$C$101,Enviado!$A$3:$A$101,A62))</f>
        <v/>
      </c>
      <c r="F62" s="21">
        <f>IF(A62="","",E62-D62)</f>
        <v/>
      </c>
      <c r="G62" s="22">
        <f>IF(A62="","",IFERROR(E62/D62,""))</f>
        <v/>
      </c>
      <c r="H62" s="23">
        <f>IF(A62="","",F62*C62)</f>
        <v/>
      </c>
      <c r="I62" s="24">
        <f>IF(A62="","",IF(F62=0,"OK",IF(F62&lt;0,"Faltante","Sobrante")))</f>
        <v/>
      </c>
    </row>
    <row r="63">
      <c r="A63" s="18">
        <f>IF(Pedido!A63="","",Pedido!A63)</f>
        <v/>
      </c>
      <c r="B63" s="18">
        <f>IF(Pedido!A63="","",Pedido!B63)</f>
        <v/>
      </c>
      <c r="C63" s="19">
        <f>IF(Pedido!A63="","",Pedido!D63)</f>
        <v/>
      </c>
      <c r="D63" s="20">
        <f>IF(Pedido!A63="","",Pedido!C63)</f>
        <v/>
      </c>
      <c r="E63" s="20">
        <f>IF(A63="","",SUMIFS(Enviado!$C$3:$C$101,Enviado!$A$3:$A$101,A63))</f>
        <v/>
      </c>
      <c r="F63" s="21">
        <f>IF(A63="","",E63-D63)</f>
        <v/>
      </c>
      <c r="G63" s="22">
        <f>IF(A63="","",IFERROR(E63/D63,""))</f>
        <v/>
      </c>
      <c r="H63" s="23">
        <f>IF(A63="","",F63*C63)</f>
        <v/>
      </c>
      <c r="I63" s="24">
        <f>IF(A63="","",IF(F63=0,"OK",IF(F63&lt;0,"Faltante","Sobrante")))</f>
        <v/>
      </c>
    </row>
    <row r="64">
      <c r="A64" s="18">
        <f>IF(Pedido!A64="","",Pedido!A64)</f>
        <v/>
      </c>
      <c r="B64" s="18">
        <f>IF(Pedido!A64="","",Pedido!B64)</f>
        <v/>
      </c>
      <c r="C64" s="19">
        <f>IF(Pedido!A64="","",Pedido!D64)</f>
        <v/>
      </c>
      <c r="D64" s="20">
        <f>IF(Pedido!A64="","",Pedido!C64)</f>
        <v/>
      </c>
      <c r="E64" s="20">
        <f>IF(A64="","",SUMIFS(Enviado!$C$3:$C$101,Enviado!$A$3:$A$101,A64))</f>
        <v/>
      </c>
      <c r="F64" s="21">
        <f>IF(A64="","",E64-D64)</f>
        <v/>
      </c>
      <c r="G64" s="22">
        <f>IF(A64="","",IFERROR(E64/D64,""))</f>
        <v/>
      </c>
      <c r="H64" s="23">
        <f>IF(A64="","",F64*C64)</f>
        <v/>
      </c>
      <c r="I64" s="24">
        <f>IF(A64="","",IF(F64=0,"OK",IF(F64&lt;0,"Faltante","Sobrante")))</f>
        <v/>
      </c>
    </row>
    <row r="65">
      <c r="A65" s="18">
        <f>IF(Pedido!A65="","",Pedido!A65)</f>
        <v/>
      </c>
      <c r="B65" s="18">
        <f>IF(Pedido!A65="","",Pedido!B65)</f>
        <v/>
      </c>
      <c r="C65" s="19">
        <f>IF(Pedido!A65="","",Pedido!D65)</f>
        <v/>
      </c>
      <c r="D65" s="20">
        <f>IF(Pedido!A65="","",Pedido!C65)</f>
        <v/>
      </c>
      <c r="E65" s="20">
        <f>IF(A65="","",SUMIFS(Enviado!$C$3:$C$101,Enviado!$A$3:$A$101,A65))</f>
        <v/>
      </c>
      <c r="F65" s="21">
        <f>IF(A65="","",E65-D65)</f>
        <v/>
      </c>
      <c r="G65" s="22">
        <f>IF(A65="","",IFERROR(E65/D65,""))</f>
        <v/>
      </c>
      <c r="H65" s="23">
        <f>IF(A65="","",F65*C65)</f>
        <v/>
      </c>
      <c r="I65" s="24">
        <f>IF(A65="","",IF(F65=0,"OK",IF(F65&lt;0,"Faltante","Sobrante")))</f>
        <v/>
      </c>
    </row>
    <row r="66">
      <c r="A66" s="18">
        <f>IF(Pedido!A66="","",Pedido!A66)</f>
        <v/>
      </c>
      <c r="B66" s="18">
        <f>IF(Pedido!A66="","",Pedido!B66)</f>
        <v/>
      </c>
      <c r="C66" s="19">
        <f>IF(Pedido!A66="","",Pedido!D66)</f>
        <v/>
      </c>
      <c r="D66" s="20">
        <f>IF(Pedido!A66="","",Pedido!C66)</f>
        <v/>
      </c>
      <c r="E66" s="20">
        <f>IF(A66="","",SUMIFS(Enviado!$C$3:$C$101,Enviado!$A$3:$A$101,A66))</f>
        <v/>
      </c>
      <c r="F66" s="21">
        <f>IF(A66="","",E66-D66)</f>
        <v/>
      </c>
      <c r="G66" s="22">
        <f>IF(A66="","",IFERROR(E66/D66,""))</f>
        <v/>
      </c>
      <c r="H66" s="23">
        <f>IF(A66="","",F66*C66)</f>
        <v/>
      </c>
      <c r="I66" s="24">
        <f>IF(A66="","",IF(F66=0,"OK",IF(F66&lt;0,"Faltante","Sobrante")))</f>
        <v/>
      </c>
    </row>
    <row r="67">
      <c r="A67" s="18">
        <f>IF(Pedido!A67="","",Pedido!A67)</f>
        <v/>
      </c>
      <c r="B67" s="18">
        <f>IF(Pedido!A67="","",Pedido!B67)</f>
        <v/>
      </c>
      <c r="C67" s="19">
        <f>IF(Pedido!A67="","",Pedido!D67)</f>
        <v/>
      </c>
      <c r="D67" s="20">
        <f>IF(Pedido!A67="","",Pedido!C67)</f>
        <v/>
      </c>
      <c r="E67" s="20">
        <f>IF(A67="","",SUMIFS(Enviado!$C$3:$C$101,Enviado!$A$3:$A$101,A67))</f>
        <v/>
      </c>
      <c r="F67" s="21">
        <f>IF(A67="","",E67-D67)</f>
        <v/>
      </c>
      <c r="G67" s="22">
        <f>IF(A67="","",IFERROR(E67/D67,""))</f>
        <v/>
      </c>
      <c r="H67" s="23">
        <f>IF(A67="","",F67*C67)</f>
        <v/>
      </c>
      <c r="I67" s="24">
        <f>IF(A67="","",IF(F67=0,"OK",IF(F67&lt;0,"Faltante","Sobrante")))</f>
        <v/>
      </c>
    </row>
    <row r="68">
      <c r="A68" s="18">
        <f>IF(Pedido!A68="","",Pedido!A68)</f>
        <v/>
      </c>
      <c r="B68" s="18">
        <f>IF(Pedido!A68="","",Pedido!B68)</f>
        <v/>
      </c>
      <c r="C68" s="19">
        <f>IF(Pedido!A68="","",Pedido!D68)</f>
        <v/>
      </c>
      <c r="D68" s="20">
        <f>IF(Pedido!A68="","",Pedido!C68)</f>
        <v/>
      </c>
      <c r="E68" s="20">
        <f>IF(A68="","",SUMIFS(Enviado!$C$3:$C$101,Enviado!$A$3:$A$101,A68))</f>
        <v/>
      </c>
      <c r="F68" s="21">
        <f>IF(A68="","",E68-D68)</f>
        <v/>
      </c>
      <c r="G68" s="22">
        <f>IF(A68="","",IFERROR(E68/D68,""))</f>
        <v/>
      </c>
      <c r="H68" s="23">
        <f>IF(A68="","",F68*C68)</f>
        <v/>
      </c>
      <c r="I68" s="24">
        <f>IF(A68="","",IF(F68=0,"OK",IF(F68&lt;0,"Faltante","Sobrante")))</f>
        <v/>
      </c>
    </row>
    <row r="69">
      <c r="A69" s="18">
        <f>IF(Pedido!A69="","",Pedido!A69)</f>
        <v/>
      </c>
      <c r="B69" s="18">
        <f>IF(Pedido!A69="","",Pedido!B69)</f>
        <v/>
      </c>
      <c r="C69" s="19">
        <f>IF(Pedido!A69="","",Pedido!D69)</f>
        <v/>
      </c>
      <c r="D69" s="20">
        <f>IF(Pedido!A69="","",Pedido!C69)</f>
        <v/>
      </c>
      <c r="E69" s="20">
        <f>IF(A69="","",SUMIFS(Enviado!$C$3:$C$101,Enviado!$A$3:$A$101,A69))</f>
        <v/>
      </c>
      <c r="F69" s="21">
        <f>IF(A69="","",E69-D69)</f>
        <v/>
      </c>
      <c r="G69" s="22">
        <f>IF(A69="","",IFERROR(E69/D69,""))</f>
        <v/>
      </c>
      <c r="H69" s="23">
        <f>IF(A69="","",F69*C69)</f>
        <v/>
      </c>
      <c r="I69" s="24">
        <f>IF(A69="","",IF(F69=0,"OK",IF(F69&lt;0,"Faltante","Sobrante")))</f>
        <v/>
      </c>
    </row>
    <row r="70">
      <c r="A70" s="18">
        <f>IF(Pedido!A70="","",Pedido!A70)</f>
        <v/>
      </c>
      <c r="B70" s="18">
        <f>IF(Pedido!A70="","",Pedido!B70)</f>
        <v/>
      </c>
      <c r="C70" s="19">
        <f>IF(Pedido!A70="","",Pedido!D70)</f>
        <v/>
      </c>
      <c r="D70" s="20">
        <f>IF(Pedido!A70="","",Pedido!C70)</f>
        <v/>
      </c>
      <c r="E70" s="20">
        <f>IF(A70="","",SUMIFS(Enviado!$C$3:$C$101,Enviado!$A$3:$A$101,A70))</f>
        <v/>
      </c>
      <c r="F70" s="21">
        <f>IF(A70="","",E70-D70)</f>
        <v/>
      </c>
      <c r="G70" s="22">
        <f>IF(A70="","",IFERROR(E70/D70,""))</f>
        <v/>
      </c>
      <c r="H70" s="23">
        <f>IF(A70="","",F70*C70)</f>
        <v/>
      </c>
      <c r="I70" s="24">
        <f>IF(A70="","",IF(F70=0,"OK",IF(F70&lt;0,"Faltante","Sobrante")))</f>
        <v/>
      </c>
    </row>
    <row r="71">
      <c r="A71" s="18">
        <f>IF(Pedido!A71="","",Pedido!A71)</f>
        <v/>
      </c>
      <c r="B71" s="18">
        <f>IF(Pedido!A71="","",Pedido!B71)</f>
        <v/>
      </c>
      <c r="C71" s="19">
        <f>IF(Pedido!A71="","",Pedido!D71)</f>
        <v/>
      </c>
      <c r="D71" s="20">
        <f>IF(Pedido!A71="","",Pedido!C71)</f>
        <v/>
      </c>
      <c r="E71" s="20">
        <f>IF(A71="","",SUMIFS(Enviado!$C$3:$C$101,Enviado!$A$3:$A$101,A71))</f>
        <v/>
      </c>
      <c r="F71" s="21">
        <f>IF(A71="","",E71-D71)</f>
        <v/>
      </c>
      <c r="G71" s="22">
        <f>IF(A71="","",IFERROR(E71/D71,""))</f>
        <v/>
      </c>
      <c r="H71" s="23">
        <f>IF(A71="","",F71*C71)</f>
        <v/>
      </c>
      <c r="I71" s="24">
        <f>IF(A71="","",IF(F71=0,"OK",IF(F71&lt;0,"Faltante","Sobrante")))</f>
        <v/>
      </c>
    </row>
    <row r="72">
      <c r="A72" s="18">
        <f>IF(Pedido!A72="","",Pedido!A72)</f>
        <v/>
      </c>
      <c r="B72" s="18">
        <f>IF(Pedido!A72="","",Pedido!B72)</f>
        <v/>
      </c>
      <c r="C72" s="19">
        <f>IF(Pedido!A72="","",Pedido!D72)</f>
        <v/>
      </c>
      <c r="D72" s="20">
        <f>IF(Pedido!A72="","",Pedido!C72)</f>
        <v/>
      </c>
      <c r="E72" s="20">
        <f>IF(A72="","",SUMIFS(Enviado!$C$3:$C$101,Enviado!$A$3:$A$101,A72))</f>
        <v/>
      </c>
      <c r="F72" s="21">
        <f>IF(A72="","",E72-D72)</f>
        <v/>
      </c>
      <c r="G72" s="22">
        <f>IF(A72="","",IFERROR(E72/D72,""))</f>
        <v/>
      </c>
      <c r="H72" s="23">
        <f>IF(A72="","",F72*C72)</f>
        <v/>
      </c>
      <c r="I72" s="24">
        <f>IF(A72="","",IF(F72=0,"OK",IF(F72&lt;0,"Faltante","Sobrante")))</f>
        <v/>
      </c>
    </row>
    <row r="73">
      <c r="A73" s="18">
        <f>IF(Pedido!A73="","",Pedido!A73)</f>
        <v/>
      </c>
      <c r="B73" s="18">
        <f>IF(Pedido!A73="","",Pedido!B73)</f>
        <v/>
      </c>
      <c r="C73" s="19">
        <f>IF(Pedido!A73="","",Pedido!D73)</f>
        <v/>
      </c>
      <c r="D73" s="20">
        <f>IF(Pedido!A73="","",Pedido!C73)</f>
        <v/>
      </c>
      <c r="E73" s="20">
        <f>IF(A73="","",SUMIFS(Enviado!$C$3:$C$101,Enviado!$A$3:$A$101,A73))</f>
        <v/>
      </c>
      <c r="F73" s="21">
        <f>IF(A73="","",E73-D73)</f>
        <v/>
      </c>
      <c r="G73" s="22">
        <f>IF(A73="","",IFERROR(E73/D73,""))</f>
        <v/>
      </c>
      <c r="H73" s="23">
        <f>IF(A73="","",F73*C73)</f>
        <v/>
      </c>
      <c r="I73" s="24">
        <f>IF(A73="","",IF(F73=0,"OK",IF(F73&lt;0,"Faltante","Sobrante")))</f>
        <v/>
      </c>
    </row>
    <row r="74">
      <c r="A74" s="18">
        <f>IF(Pedido!A74="","",Pedido!A74)</f>
        <v/>
      </c>
      <c r="B74" s="18">
        <f>IF(Pedido!A74="","",Pedido!B74)</f>
        <v/>
      </c>
      <c r="C74" s="19">
        <f>IF(Pedido!A74="","",Pedido!D74)</f>
        <v/>
      </c>
      <c r="D74" s="20">
        <f>IF(Pedido!A74="","",Pedido!C74)</f>
        <v/>
      </c>
      <c r="E74" s="20">
        <f>IF(A74="","",SUMIFS(Enviado!$C$3:$C$101,Enviado!$A$3:$A$101,A74))</f>
        <v/>
      </c>
      <c r="F74" s="21">
        <f>IF(A74="","",E74-D74)</f>
        <v/>
      </c>
      <c r="G74" s="22">
        <f>IF(A74="","",IFERROR(E74/D74,""))</f>
        <v/>
      </c>
      <c r="H74" s="23">
        <f>IF(A74="","",F74*C74)</f>
        <v/>
      </c>
      <c r="I74" s="24">
        <f>IF(A74="","",IF(F74=0,"OK",IF(F74&lt;0,"Faltante","Sobrante")))</f>
        <v/>
      </c>
    </row>
    <row r="75">
      <c r="A75" s="18">
        <f>IF(Pedido!A75="","",Pedido!A75)</f>
        <v/>
      </c>
      <c r="B75" s="18">
        <f>IF(Pedido!A75="","",Pedido!B75)</f>
        <v/>
      </c>
      <c r="C75" s="19">
        <f>IF(Pedido!A75="","",Pedido!D75)</f>
        <v/>
      </c>
      <c r="D75" s="20">
        <f>IF(Pedido!A75="","",Pedido!C75)</f>
        <v/>
      </c>
      <c r="E75" s="20">
        <f>IF(A75="","",SUMIFS(Enviado!$C$3:$C$101,Enviado!$A$3:$A$101,A75))</f>
        <v/>
      </c>
      <c r="F75" s="21">
        <f>IF(A75="","",E75-D75)</f>
        <v/>
      </c>
      <c r="G75" s="22">
        <f>IF(A75="","",IFERROR(E75/D75,""))</f>
        <v/>
      </c>
      <c r="H75" s="23">
        <f>IF(A75="","",F75*C75)</f>
        <v/>
      </c>
      <c r="I75" s="24">
        <f>IF(A75="","",IF(F75=0,"OK",IF(F75&lt;0,"Faltante","Sobrante")))</f>
        <v/>
      </c>
    </row>
    <row r="76">
      <c r="A76" s="18">
        <f>IF(Pedido!A76="","",Pedido!A76)</f>
        <v/>
      </c>
      <c r="B76" s="18">
        <f>IF(Pedido!A76="","",Pedido!B76)</f>
        <v/>
      </c>
      <c r="C76" s="19">
        <f>IF(Pedido!A76="","",Pedido!D76)</f>
        <v/>
      </c>
      <c r="D76" s="20">
        <f>IF(Pedido!A76="","",Pedido!C76)</f>
        <v/>
      </c>
      <c r="E76" s="20">
        <f>IF(A76="","",SUMIFS(Enviado!$C$3:$C$101,Enviado!$A$3:$A$101,A76))</f>
        <v/>
      </c>
      <c r="F76" s="21">
        <f>IF(A76="","",E76-D76)</f>
        <v/>
      </c>
      <c r="G76" s="22">
        <f>IF(A76="","",IFERROR(E76/D76,""))</f>
        <v/>
      </c>
      <c r="H76" s="23">
        <f>IF(A76="","",F76*C76)</f>
        <v/>
      </c>
      <c r="I76" s="24">
        <f>IF(A76="","",IF(F76=0,"OK",IF(F76&lt;0,"Faltante","Sobrante")))</f>
        <v/>
      </c>
    </row>
    <row r="77">
      <c r="A77" s="18">
        <f>IF(Pedido!A77="","",Pedido!A77)</f>
        <v/>
      </c>
      <c r="B77" s="18">
        <f>IF(Pedido!A77="","",Pedido!B77)</f>
        <v/>
      </c>
      <c r="C77" s="19">
        <f>IF(Pedido!A77="","",Pedido!D77)</f>
        <v/>
      </c>
      <c r="D77" s="20">
        <f>IF(Pedido!A77="","",Pedido!C77)</f>
        <v/>
      </c>
      <c r="E77" s="20">
        <f>IF(A77="","",SUMIFS(Enviado!$C$3:$C$101,Enviado!$A$3:$A$101,A77))</f>
        <v/>
      </c>
      <c r="F77" s="21">
        <f>IF(A77="","",E77-D77)</f>
        <v/>
      </c>
      <c r="G77" s="22">
        <f>IF(A77="","",IFERROR(E77/D77,""))</f>
        <v/>
      </c>
      <c r="H77" s="23">
        <f>IF(A77="","",F77*C77)</f>
        <v/>
      </c>
      <c r="I77" s="24">
        <f>IF(A77="","",IF(F77=0,"OK",IF(F77&lt;0,"Faltante","Sobrante")))</f>
        <v/>
      </c>
    </row>
    <row r="78">
      <c r="A78" s="18">
        <f>IF(Pedido!A78="","",Pedido!A78)</f>
        <v/>
      </c>
      <c r="B78" s="18">
        <f>IF(Pedido!A78="","",Pedido!B78)</f>
        <v/>
      </c>
      <c r="C78" s="19">
        <f>IF(Pedido!A78="","",Pedido!D78)</f>
        <v/>
      </c>
      <c r="D78" s="20">
        <f>IF(Pedido!A78="","",Pedido!C78)</f>
        <v/>
      </c>
      <c r="E78" s="20">
        <f>IF(A78="","",SUMIFS(Enviado!$C$3:$C$101,Enviado!$A$3:$A$101,A78))</f>
        <v/>
      </c>
      <c r="F78" s="21">
        <f>IF(A78="","",E78-D78)</f>
        <v/>
      </c>
      <c r="G78" s="22">
        <f>IF(A78="","",IFERROR(E78/D78,""))</f>
        <v/>
      </c>
      <c r="H78" s="23">
        <f>IF(A78="","",F78*C78)</f>
        <v/>
      </c>
      <c r="I78" s="24">
        <f>IF(A78="","",IF(F78=0,"OK",IF(F78&lt;0,"Faltante","Sobrante")))</f>
        <v/>
      </c>
    </row>
    <row r="79">
      <c r="A79" s="18">
        <f>IF(Pedido!A79="","",Pedido!A79)</f>
        <v/>
      </c>
      <c r="B79" s="18">
        <f>IF(Pedido!A79="","",Pedido!B79)</f>
        <v/>
      </c>
      <c r="C79" s="19">
        <f>IF(Pedido!A79="","",Pedido!D79)</f>
        <v/>
      </c>
      <c r="D79" s="20">
        <f>IF(Pedido!A79="","",Pedido!C79)</f>
        <v/>
      </c>
      <c r="E79" s="20">
        <f>IF(A79="","",SUMIFS(Enviado!$C$3:$C$101,Enviado!$A$3:$A$101,A79))</f>
        <v/>
      </c>
      <c r="F79" s="21">
        <f>IF(A79="","",E79-D79)</f>
        <v/>
      </c>
      <c r="G79" s="22">
        <f>IF(A79="","",IFERROR(E79/D79,""))</f>
        <v/>
      </c>
      <c r="H79" s="23">
        <f>IF(A79="","",F79*C79)</f>
        <v/>
      </c>
      <c r="I79" s="24">
        <f>IF(A79="","",IF(F79=0,"OK",IF(F79&lt;0,"Faltante","Sobrante")))</f>
        <v/>
      </c>
    </row>
    <row r="80">
      <c r="A80" s="18">
        <f>IF(Pedido!A80="","",Pedido!A80)</f>
        <v/>
      </c>
      <c r="B80" s="18">
        <f>IF(Pedido!A80="","",Pedido!B80)</f>
        <v/>
      </c>
      <c r="C80" s="19">
        <f>IF(Pedido!A80="","",Pedido!D80)</f>
        <v/>
      </c>
      <c r="D80" s="20">
        <f>IF(Pedido!A80="","",Pedido!C80)</f>
        <v/>
      </c>
      <c r="E80" s="20">
        <f>IF(A80="","",SUMIFS(Enviado!$C$3:$C$101,Enviado!$A$3:$A$101,A80))</f>
        <v/>
      </c>
      <c r="F80" s="21">
        <f>IF(A80="","",E80-D80)</f>
        <v/>
      </c>
      <c r="G80" s="22">
        <f>IF(A80="","",IFERROR(E80/D80,""))</f>
        <v/>
      </c>
      <c r="H80" s="23">
        <f>IF(A80="","",F80*C80)</f>
        <v/>
      </c>
      <c r="I80" s="24">
        <f>IF(A80="","",IF(F80=0,"OK",IF(F80&lt;0,"Faltante","Sobrante")))</f>
        <v/>
      </c>
    </row>
    <row r="81">
      <c r="A81" s="18">
        <f>IF(Pedido!A81="","",Pedido!A81)</f>
        <v/>
      </c>
      <c r="B81" s="18">
        <f>IF(Pedido!A81="","",Pedido!B81)</f>
        <v/>
      </c>
      <c r="C81" s="19">
        <f>IF(Pedido!A81="","",Pedido!D81)</f>
        <v/>
      </c>
      <c r="D81" s="20">
        <f>IF(Pedido!A81="","",Pedido!C81)</f>
        <v/>
      </c>
      <c r="E81" s="20">
        <f>IF(A81="","",SUMIFS(Enviado!$C$3:$C$101,Enviado!$A$3:$A$101,A81))</f>
        <v/>
      </c>
      <c r="F81" s="21">
        <f>IF(A81="","",E81-D81)</f>
        <v/>
      </c>
      <c r="G81" s="22">
        <f>IF(A81="","",IFERROR(E81/D81,""))</f>
        <v/>
      </c>
      <c r="H81" s="23">
        <f>IF(A81="","",F81*C81)</f>
        <v/>
      </c>
      <c r="I81" s="24">
        <f>IF(A81="","",IF(F81=0,"OK",IF(F81&lt;0,"Faltante","Sobrante")))</f>
        <v/>
      </c>
    </row>
    <row r="82">
      <c r="A82" s="18">
        <f>IF(Pedido!A82="","",Pedido!A82)</f>
        <v/>
      </c>
      <c r="B82" s="18">
        <f>IF(Pedido!A82="","",Pedido!B82)</f>
        <v/>
      </c>
      <c r="C82" s="19">
        <f>IF(Pedido!A82="","",Pedido!D82)</f>
        <v/>
      </c>
      <c r="D82" s="20">
        <f>IF(Pedido!A82="","",Pedido!C82)</f>
        <v/>
      </c>
      <c r="E82" s="20">
        <f>IF(A82="","",SUMIFS(Enviado!$C$3:$C$101,Enviado!$A$3:$A$101,A82))</f>
        <v/>
      </c>
      <c r="F82" s="21">
        <f>IF(A82="","",E82-D82)</f>
        <v/>
      </c>
      <c r="G82" s="22">
        <f>IF(A82="","",IFERROR(E82/D82,""))</f>
        <v/>
      </c>
      <c r="H82" s="23">
        <f>IF(A82="","",F82*C82)</f>
        <v/>
      </c>
      <c r="I82" s="24">
        <f>IF(A82="","",IF(F82=0,"OK",IF(F82&lt;0,"Faltante","Sobrante")))</f>
        <v/>
      </c>
    </row>
    <row r="83">
      <c r="A83" s="18">
        <f>IF(Pedido!A83="","",Pedido!A83)</f>
        <v/>
      </c>
      <c r="B83" s="18">
        <f>IF(Pedido!A83="","",Pedido!B83)</f>
        <v/>
      </c>
      <c r="C83" s="19">
        <f>IF(Pedido!A83="","",Pedido!D83)</f>
        <v/>
      </c>
      <c r="D83" s="20">
        <f>IF(Pedido!A83="","",Pedido!C83)</f>
        <v/>
      </c>
      <c r="E83" s="20">
        <f>IF(A83="","",SUMIFS(Enviado!$C$3:$C$101,Enviado!$A$3:$A$101,A83))</f>
        <v/>
      </c>
      <c r="F83" s="21">
        <f>IF(A83="","",E83-D83)</f>
        <v/>
      </c>
      <c r="G83" s="22">
        <f>IF(A83="","",IFERROR(E83/D83,""))</f>
        <v/>
      </c>
      <c r="H83" s="23">
        <f>IF(A83="","",F83*C83)</f>
        <v/>
      </c>
      <c r="I83" s="24">
        <f>IF(A83="","",IF(F83=0,"OK",IF(F83&lt;0,"Faltante","Sobrante")))</f>
        <v/>
      </c>
    </row>
    <row r="84">
      <c r="A84" s="18">
        <f>IF(Pedido!A84="","",Pedido!A84)</f>
        <v/>
      </c>
      <c r="B84" s="18">
        <f>IF(Pedido!A84="","",Pedido!B84)</f>
        <v/>
      </c>
      <c r="C84" s="19">
        <f>IF(Pedido!A84="","",Pedido!D84)</f>
        <v/>
      </c>
      <c r="D84" s="20">
        <f>IF(Pedido!A84="","",Pedido!C84)</f>
        <v/>
      </c>
      <c r="E84" s="20">
        <f>IF(A84="","",SUMIFS(Enviado!$C$3:$C$101,Enviado!$A$3:$A$101,A84))</f>
        <v/>
      </c>
      <c r="F84" s="21">
        <f>IF(A84="","",E84-D84)</f>
        <v/>
      </c>
      <c r="G84" s="22">
        <f>IF(A84="","",IFERROR(E84/D84,""))</f>
        <v/>
      </c>
      <c r="H84" s="23">
        <f>IF(A84="","",F84*C84)</f>
        <v/>
      </c>
      <c r="I84" s="24">
        <f>IF(A84="","",IF(F84=0,"OK",IF(F84&lt;0,"Faltante","Sobrante")))</f>
        <v/>
      </c>
    </row>
    <row r="85">
      <c r="A85" s="18">
        <f>IF(Pedido!A85="","",Pedido!A85)</f>
        <v/>
      </c>
      <c r="B85" s="18">
        <f>IF(Pedido!A85="","",Pedido!B85)</f>
        <v/>
      </c>
      <c r="C85" s="19">
        <f>IF(Pedido!A85="","",Pedido!D85)</f>
        <v/>
      </c>
      <c r="D85" s="20">
        <f>IF(Pedido!A85="","",Pedido!C85)</f>
        <v/>
      </c>
      <c r="E85" s="20">
        <f>IF(A85="","",SUMIFS(Enviado!$C$3:$C$101,Enviado!$A$3:$A$101,A85))</f>
        <v/>
      </c>
      <c r="F85" s="21">
        <f>IF(A85="","",E85-D85)</f>
        <v/>
      </c>
      <c r="G85" s="22">
        <f>IF(A85="","",IFERROR(E85/D85,""))</f>
        <v/>
      </c>
      <c r="H85" s="23">
        <f>IF(A85="","",F85*C85)</f>
        <v/>
      </c>
      <c r="I85" s="24">
        <f>IF(A85="","",IF(F85=0,"OK",IF(F85&lt;0,"Faltante","Sobrante")))</f>
        <v/>
      </c>
    </row>
    <row r="86">
      <c r="A86" s="18">
        <f>IF(Pedido!A86="","",Pedido!A86)</f>
        <v/>
      </c>
      <c r="B86" s="18">
        <f>IF(Pedido!A86="","",Pedido!B86)</f>
        <v/>
      </c>
      <c r="C86" s="19">
        <f>IF(Pedido!A86="","",Pedido!D86)</f>
        <v/>
      </c>
      <c r="D86" s="20">
        <f>IF(Pedido!A86="","",Pedido!C86)</f>
        <v/>
      </c>
      <c r="E86" s="20">
        <f>IF(A86="","",SUMIFS(Enviado!$C$3:$C$101,Enviado!$A$3:$A$101,A86))</f>
        <v/>
      </c>
      <c r="F86" s="21">
        <f>IF(A86="","",E86-D86)</f>
        <v/>
      </c>
      <c r="G86" s="22">
        <f>IF(A86="","",IFERROR(E86/D86,""))</f>
        <v/>
      </c>
      <c r="H86" s="23">
        <f>IF(A86="","",F86*C86)</f>
        <v/>
      </c>
      <c r="I86" s="24">
        <f>IF(A86="","",IF(F86=0,"OK",IF(F86&lt;0,"Faltante","Sobrante")))</f>
        <v/>
      </c>
    </row>
    <row r="87">
      <c r="A87" s="18">
        <f>IF(Pedido!A87="","",Pedido!A87)</f>
        <v/>
      </c>
      <c r="B87" s="18">
        <f>IF(Pedido!A87="","",Pedido!B87)</f>
        <v/>
      </c>
      <c r="C87" s="19">
        <f>IF(Pedido!A87="","",Pedido!D87)</f>
        <v/>
      </c>
      <c r="D87" s="20">
        <f>IF(Pedido!A87="","",Pedido!C87)</f>
        <v/>
      </c>
      <c r="E87" s="20">
        <f>IF(A87="","",SUMIFS(Enviado!$C$3:$C$101,Enviado!$A$3:$A$101,A87))</f>
        <v/>
      </c>
      <c r="F87" s="21">
        <f>IF(A87="","",E87-D87)</f>
        <v/>
      </c>
      <c r="G87" s="22">
        <f>IF(A87="","",IFERROR(E87/D87,""))</f>
        <v/>
      </c>
      <c r="H87" s="23">
        <f>IF(A87="","",F87*C87)</f>
        <v/>
      </c>
      <c r="I87" s="24">
        <f>IF(A87="","",IF(F87=0,"OK",IF(F87&lt;0,"Faltante","Sobrante")))</f>
        <v/>
      </c>
    </row>
    <row r="88">
      <c r="A88" s="18">
        <f>IF(Pedido!A88="","",Pedido!A88)</f>
        <v/>
      </c>
      <c r="B88" s="18">
        <f>IF(Pedido!A88="","",Pedido!B88)</f>
        <v/>
      </c>
      <c r="C88" s="19">
        <f>IF(Pedido!A88="","",Pedido!D88)</f>
        <v/>
      </c>
      <c r="D88" s="20">
        <f>IF(Pedido!A88="","",Pedido!C88)</f>
        <v/>
      </c>
      <c r="E88" s="20">
        <f>IF(A88="","",SUMIFS(Enviado!$C$3:$C$101,Enviado!$A$3:$A$101,A88))</f>
        <v/>
      </c>
      <c r="F88" s="21">
        <f>IF(A88="","",E88-D88)</f>
        <v/>
      </c>
      <c r="G88" s="22">
        <f>IF(A88="","",IFERROR(E88/D88,""))</f>
        <v/>
      </c>
      <c r="H88" s="23">
        <f>IF(A88="","",F88*C88)</f>
        <v/>
      </c>
      <c r="I88" s="24">
        <f>IF(A88="","",IF(F88=0,"OK",IF(F88&lt;0,"Faltante","Sobrante")))</f>
        <v/>
      </c>
    </row>
    <row r="89">
      <c r="A89" s="18">
        <f>IF(Pedido!A89="","",Pedido!A89)</f>
        <v/>
      </c>
      <c r="B89" s="18">
        <f>IF(Pedido!A89="","",Pedido!B89)</f>
        <v/>
      </c>
      <c r="C89" s="19">
        <f>IF(Pedido!A89="","",Pedido!D89)</f>
        <v/>
      </c>
      <c r="D89" s="20">
        <f>IF(Pedido!A89="","",Pedido!C89)</f>
        <v/>
      </c>
      <c r="E89" s="20">
        <f>IF(A89="","",SUMIFS(Enviado!$C$3:$C$101,Enviado!$A$3:$A$101,A89))</f>
        <v/>
      </c>
      <c r="F89" s="21">
        <f>IF(A89="","",E89-D89)</f>
        <v/>
      </c>
      <c r="G89" s="22">
        <f>IF(A89="","",IFERROR(E89/D89,""))</f>
        <v/>
      </c>
      <c r="H89" s="23">
        <f>IF(A89="","",F89*C89)</f>
        <v/>
      </c>
      <c r="I89" s="24">
        <f>IF(A89="","",IF(F89=0,"OK",IF(F89&lt;0,"Faltante","Sobrante")))</f>
        <v/>
      </c>
    </row>
    <row r="90">
      <c r="A90" s="18">
        <f>IF(Pedido!A90="","",Pedido!A90)</f>
        <v/>
      </c>
      <c r="B90" s="18">
        <f>IF(Pedido!A90="","",Pedido!B90)</f>
        <v/>
      </c>
      <c r="C90" s="19">
        <f>IF(Pedido!A90="","",Pedido!D90)</f>
        <v/>
      </c>
      <c r="D90" s="20">
        <f>IF(Pedido!A90="","",Pedido!C90)</f>
        <v/>
      </c>
      <c r="E90" s="20">
        <f>IF(A90="","",SUMIFS(Enviado!$C$3:$C$101,Enviado!$A$3:$A$101,A90))</f>
        <v/>
      </c>
      <c r="F90" s="21">
        <f>IF(A90="","",E90-D90)</f>
        <v/>
      </c>
      <c r="G90" s="22">
        <f>IF(A90="","",IFERROR(E90/D90,""))</f>
        <v/>
      </c>
      <c r="H90" s="23">
        <f>IF(A90="","",F90*C90)</f>
        <v/>
      </c>
      <c r="I90" s="24">
        <f>IF(A90="","",IF(F90=0,"OK",IF(F90&lt;0,"Faltante","Sobrante")))</f>
        <v/>
      </c>
    </row>
    <row r="91">
      <c r="A91" s="18">
        <f>IF(Pedido!A91="","",Pedido!A91)</f>
        <v/>
      </c>
      <c r="B91" s="18">
        <f>IF(Pedido!A91="","",Pedido!B91)</f>
        <v/>
      </c>
      <c r="C91" s="19">
        <f>IF(Pedido!A91="","",Pedido!D91)</f>
        <v/>
      </c>
      <c r="D91" s="20">
        <f>IF(Pedido!A91="","",Pedido!C91)</f>
        <v/>
      </c>
      <c r="E91" s="20">
        <f>IF(A91="","",SUMIFS(Enviado!$C$3:$C$101,Enviado!$A$3:$A$101,A91))</f>
        <v/>
      </c>
      <c r="F91" s="21">
        <f>IF(A91="","",E91-D91)</f>
        <v/>
      </c>
      <c r="G91" s="22">
        <f>IF(A91="","",IFERROR(E91/D91,""))</f>
        <v/>
      </c>
      <c r="H91" s="23">
        <f>IF(A91="","",F91*C91)</f>
        <v/>
      </c>
      <c r="I91" s="24">
        <f>IF(A91="","",IF(F91=0,"OK",IF(F91&lt;0,"Faltante","Sobrante")))</f>
        <v/>
      </c>
    </row>
    <row r="92">
      <c r="A92" s="18">
        <f>IF(Pedido!A92="","",Pedido!A92)</f>
        <v/>
      </c>
      <c r="B92" s="18">
        <f>IF(Pedido!A92="","",Pedido!B92)</f>
        <v/>
      </c>
      <c r="C92" s="19">
        <f>IF(Pedido!A92="","",Pedido!D92)</f>
        <v/>
      </c>
      <c r="D92" s="20">
        <f>IF(Pedido!A92="","",Pedido!C92)</f>
        <v/>
      </c>
      <c r="E92" s="20">
        <f>IF(A92="","",SUMIFS(Enviado!$C$3:$C$101,Enviado!$A$3:$A$101,A92))</f>
        <v/>
      </c>
      <c r="F92" s="21">
        <f>IF(A92="","",E92-D92)</f>
        <v/>
      </c>
      <c r="G92" s="22">
        <f>IF(A92="","",IFERROR(E92/D92,""))</f>
        <v/>
      </c>
      <c r="H92" s="23">
        <f>IF(A92="","",F92*C92)</f>
        <v/>
      </c>
      <c r="I92" s="24">
        <f>IF(A92="","",IF(F92=0,"OK",IF(F92&lt;0,"Faltante","Sobrante")))</f>
        <v/>
      </c>
    </row>
    <row r="93">
      <c r="A93" s="18">
        <f>IF(Pedido!A93="","",Pedido!A93)</f>
        <v/>
      </c>
      <c r="B93" s="18">
        <f>IF(Pedido!A93="","",Pedido!B93)</f>
        <v/>
      </c>
      <c r="C93" s="19">
        <f>IF(Pedido!A93="","",Pedido!D93)</f>
        <v/>
      </c>
      <c r="D93" s="20">
        <f>IF(Pedido!A93="","",Pedido!C93)</f>
        <v/>
      </c>
      <c r="E93" s="20">
        <f>IF(A93="","",SUMIFS(Enviado!$C$3:$C$101,Enviado!$A$3:$A$101,A93))</f>
        <v/>
      </c>
      <c r="F93" s="21">
        <f>IF(A93="","",E93-D93)</f>
        <v/>
      </c>
      <c r="G93" s="22">
        <f>IF(A93="","",IFERROR(E93/D93,""))</f>
        <v/>
      </c>
      <c r="H93" s="23">
        <f>IF(A93="","",F93*C93)</f>
        <v/>
      </c>
      <c r="I93" s="24">
        <f>IF(A93="","",IF(F93=0,"OK",IF(F93&lt;0,"Faltante","Sobrante")))</f>
        <v/>
      </c>
    </row>
    <row r="94">
      <c r="A94" s="18">
        <f>IF(Pedido!A94="","",Pedido!A94)</f>
        <v/>
      </c>
      <c r="B94" s="18">
        <f>IF(Pedido!A94="","",Pedido!B94)</f>
        <v/>
      </c>
      <c r="C94" s="19">
        <f>IF(Pedido!A94="","",Pedido!D94)</f>
        <v/>
      </c>
      <c r="D94" s="20">
        <f>IF(Pedido!A94="","",Pedido!C94)</f>
        <v/>
      </c>
      <c r="E94" s="20">
        <f>IF(A94="","",SUMIFS(Enviado!$C$3:$C$101,Enviado!$A$3:$A$101,A94))</f>
        <v/>
      </c>
      <c r="F94" s="21">
        <f>IF(A94="","",E94-D94)</f>
        <v/>
      </c>
      <c r="G94" s="22">
        <f>IF(A94="","",IFERROR(E94/D94,""))</f>
        <v/>
      </c>
      <c r="H94" s="23">
        <f>IF(A94="","",F94*C94)</f>
        <v/>
      </c>
      <c r="I94" s="24">
        <f>IF(A94="","",IF(F94=0,"OK",IF(F94&lt;0,"Faltante","Sobrante")))</f>
        <v/>
      </c>
    </row>
    <row r="95">
      <c r="A95" s="18">
        <f>IF(Pedido!A95="","",Pedido!A95)</f>
        <v/>
      </c>
      <c r="B95" s="18">
        <f>IF(Pedido!A95="","",Pedido!B95)</f>
        <v/>
      </c>
      <c r="C95" s="19">
        <f>IF(Pedido!A95="","",Pedido!D95)</f>
        <v/>
      </c>
      <c r="D95" s="20">
        <f>IF(Pedido!A95="","",Pedido!C95)</f>
        <v/>
      </c>
      <c r="E95" s="20">
        <f>IF(A95="","",SUMIFS(Enviado!$C$3:$C$101,Enviado!$A$3:$A$101,A95))</f>
        <v/>
      </c>
      <c r="F95" s="21">
        <f>IF(A95="","",E95-D95)</f>
        <v/>
      </c>
      <c r="G95" s="22">
        <f>IF(A95="","",IFERROR(E95/D95,""))</f>
        <v/>
      </c>
      <c r="H95" s="23">
        <f>IF(A95="","",F95*C95)</f>
        <v/>
      </c>
      <c r="I95" s="24">
        <f>IF(A95="","",IF(F95=0,"OK",IF(F95&lt;0,"Faltante","Sobrante")))</f>
        <v/>
      </c>
    </row>
    <row r="96">
      <c r="A96" s="18">
        <f>IF(Pedido!A96="","",Pedido!A96)</f>
        <v/>
      </c>
      <c r="B96" s="18">
        <f>IF(Pedido!A96="","",Pedido!B96)</f>
        <v/>
      </c>
      <c r="C96" s="19">
        <f>IF(Pedido!A96="","",Pedido!D96)</f>
        <v/>
      </c>
      <c r="D96" s="20">
        <f>IF(Pedido!A96="","",Pedido!C96)</f>
        <v/>
      </c>
      <c r="E96" s="20">
        <f>IF(A96="","",SUMIFS(Enviado!$C$3:$C$101,Enviado!$A$3:$A$101,A96))</f>
        <v/>
      </c>
      <c r="F96" s="21">
        <f>IF(A96="","",E96-D96)</f>
        <v/>
      </c>
      <c r="G96" s="22">
        <f>IF(A96="","",IFERROR(E96/D96,""))</f>
        <v/>
      </c>
      <c r="H96" s="23">
        <f>IF(A96="","",F96*C96)</f>
        <v/>
      </c>
      <c r="I96" s="24">
        <f>IF(A96="","",IF(F96=0,"OK",IF(F96&lt;0,"Faltante","Sobrante")))</f>
        <v/>
      </c>
    </row>
    <row r="97">
      <c r="A97" s="18">
        <f>IF(Pedido!A97="","",Pedido!A97)</f>
        <v/>
      </c>
      <c r="B97" s="18">
        <f>IF(Pedido!A97="","",Pedido!B97)</f>
        <v/>
      </c>
      <c r="C97" s="19">
        <f>IF(Pedido!A97="","",Pedido!D97)</f>
        <v/>
      </c>
      <c r="D97" s="20">
        <f>IF(Pedido!A97="","",Pedido!C97)</f>
        <v/>
      </c>
      <c r="E97" s="20">
        <f>IF(A97="","",SUMIFS(Enviado!$C$3:$C$101,Enviado!$A$3:$A$101,A97))</f>
        <v/>
      </c>
      <c r="F97" s="21">
        <f>IF(A97="","",E97-D97)</f>
        <v/>
      </c>
      <c r="G97" s="22">
        <f>IF(A97="","",IFERROR(E97/D97,""))</f>
        <v/>
      </c>
      <c r="H97" s="23">
        <f>IF(A97="","",F97*C97)</f>
        <v/>
      </c>
      <c r="I97" s="24">
        <f>IF(A97="","",IF(F97=0,"OK",IF(F97&lt;0,"Faltante","Sobrante")))</f>
        <v/>
      </c>
    </row>
    <row r="98">
      <c r="A98" s="18">
        <f>IF(Pedido!A98="","",Pedido!A98)</f>
        <v/>
      </c>
      <c r="B98" s="18">
        <f>IF(Pedido!A98="","",Pedido!B98)</f>
        <v/>
      </c>
      <c r="C98" s="19">
        <f>IF(Pedido!A98="","",Pedido!D98)</f>
        <v/>
      </c>
      <c r="D98" s="20">
        <f>IF(Pedido!A98="","",Pedido!C98)</f>
        <v/>
      </c>
      <c r="E98" s="20">
        <f>IF(A98="","",SUMIFS(Enviado!$C$3:$C$101,Enviado!$A$3:$A$101,A98))</f>
        <v/>
      </c>
      <c r="F98" s="21">
        <f>IF(A98="","",E98-D98)</f>
        <v/>
      </c>
      <c r="G98" s="22">
        <f>IF(A98="","",IFERROR(E98/D98,""))</f>
        <v/>
      </c>
      <c r="H98" s="23">
        <f>IF(A98="","",F98*C98)</f>
        <v/>
      </c>
      <c r="I98" s="24">
        <f>IF(A98="","",IF(F98=0,"OK",IF(F98&lt;0,"Faltante","Sobrante")))</f>
        <v/>
      </c>
    </row>
    <row r="99">
      <c r="A99" s="18">
        <f>IF(Pedido!A99="","",Pedido!A99)</f>
        <v/>
      </c>
      <c r="B99" s="18">
        <f>IF(Pedido!A99="","",Pedido!B99)</f>
        <v/>
      </c>
      <c r="C99" s="19">
        <f>IF(Pedido!A99="","",Pedido!D99)</f>
        <v/>
      </c>
      <c r="D99" s="20">
        <f>IF(Pedido!A99="","",Pedido!C99)</f>
        <v/>
      </c>
      <c r="E99" s="20">
        <f>IF(A99="","",SUMIFS(Enviado!$C$3:$C$101,Enviado!$A$3:$A$101,A99))</f>
        <v/>
      </c>
      <c r="F99" s="21">
        <f>IF(A99="","",E99-D99)</f>
        <v/>
      </c>
      <c r="G99" s="22">
        <f>IF(A99="","",IFERROR(E99/D99,""))</f>
        <v/>
      </c>
      <c r="H99" s="23">
        <f>IF(A99="","",F99*C99)</f>
        <v/>
      </c>
      <c r="I99" s="24">
        <f>IF(A99="","",IF(F99=0,"OK",IF(F99&lt;0,"Faltante","Sobrante")))</f>
        <v/>
      </c>
    </row>
    <row r="100">
      <c r="A100" s="18">
        <f>IF(Pedido!A100="","",Pedido!A100)</f>
        <v/>
      </c>
      <c r="B100" s="18">
        <f>IF(Pedido!A100="","",Pedido!B100)</f>
        <v/>
      </c>
      <c r="C100" s="19">
        <f>IF(Pedido!A100="","",Pedido!D100)</f>
        <v/>
      </c>
      <c r="D100" s="20">
        <f>IF(Pedido!A100="","",Pedido!C100)</f>
        <v/>
      </c>
      <c r="E100" s="20">
        <f>IF(A100="","",SUMIFS(Enviado!$C$3:$C$101,Enviado!$A$3:$A$101,A100))</f>
        <v/>
      </c>
      <c r="F100" s="21">
        <f>IF(A100="","",E100-D100)</f>
        <v/>
      </c>
      <c r="G100" s="22">
        <f>IF(A100="","",IFERROR(E100/D100,""))</f>
        <v/>
      </c>
      <c r="H100" s="23">
        <f>IF(A100="","",F100*C100)</f>
        <v/>
      </c>
      <c r="I100" s="24">
        <f>IF(A100="","",IF(F100=0,"OK",IF(F100&lt;0,"Faltante","Sobrante")))</f>
        <v/>
      </c>
    </row>
    <row r="101">
      <c r="A101" s="18">
        <f>IF(Pedido!A101="","",Pedido!A101)</f>
        <v/>
      </c>
      <c r="B101" s="18">
        <f>IF(Pedido!A101="","",Pedido!B101)</f>
        <v/>
      </c>
      <c r="C101" s="19">
        <f>IF(Pedido!A101="","",Pedido!D101)</f>
        <v/>
      </c>
      <c r="D101" s="20">
        <f>IF(Pedido!A101="","",Pedido!C101)</f>
        <v/>
      </c>
      <c r="E101" s="20">
        <f>IF(A101="","",SUMIFS(Enviado!$C$3:$C$101,Enviado!$A$3:$A$101,A101))</f>
        <v/>
      </c>
      <c r="F101" s="21">
        <f>IF(A101="","",E101-D101)</f>
        <v/>
      </c>
      <c r="G101" s="22">
        <f>IF(A101="","",IFERROR(E101/D101,""))</f>
        <v/>
      </c>
      <c r="H101" s="23">
        <f>IF(A101="","",F101*C101)</f>
        <v/>
      </c>
      <c r="I101" s="24">
        <f>IF(A101="","",IF(F101=0,"OK",IF(F101&lt;0,"Faltante","Sobrante")))</f>
        <v/>
      </c>
    </row>
    <row r="102">
      <c r="A102" s="25" t="n"/>
      <c r="B102" s="26" t="inlineStr">
        <is>
          <t>TOTAL</t>
        </is>
      </c>
      <c r="C102" s="25" t="n"/>
      <c r="D102" s="27">
        <f>SUM(D3:D101)</f>
        <v/>
      </c>
      <c r="E102" s="27">
        <f>SUM(E3:E101)</f>
        <v/>
      </c>
      <c r="F102" s="28">
        <f>SUM(F3:F101)</f>
        <v/>
      </c>
      <c r="G102" s="29">
        <f>IFERROR(E102/D102,"")</f>
        <v/>
      </c>
      <c r="H102" s="30">
        <f>SUM(H3:H101)</f>
        <v/>
      </c>
      <c r="I102" s="25" t="n"/>
    </row>
  </sheetData>
  <mergeCells count="1">
    <mergeCell ref="A1:I1"/>
  </mergeCells>
  <conditionalFormatting sqref="A3:I101">
    <cfRule type="expression" priority="1" dxfId="0">
      <formula>$I3="Faltante"</formula>
    </cfRule>
    <cfRule type="expression" priority="2" dxfId="1">
      <formula>$I3="Sobrante"</formula>
    </cfRule>
    <cfRule type="expression" priority="3" dxfId="2">
      <formula>$I3="OK"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3" customWidth="1" min="4" max="4"/>
    <col width="40" customWidth="1" min="5" max="5"/>
    <col width="20" customWidth="1" min="6" max="6"/>
  </cols>
  <sheetData>
    <row r="2">
      <c r="B2" s="31" t="inlineStr">
        <is>
          <t>RESUMEN EJECUTIVO</t>
        </is>
      </c>
    </row>
    <row r="3">
      <c r="B3" s="32" t="inlineStr">
        <is>
          <t>Diferencia de ventas: Pedido vs. Enviado</t>
        </is>
      </c>
    </row>
    <row r="5">
      <c r="B5" s="33" t="inlineStr">
        <is>
          <t>% CUMPLIMIENTO GLOBAL (fill rate)</t>
        </is>
      </c>
      <c r="E5" s="33" t="inlineStr">
        <is>
          <t>IMPACTO ECONÓMICO NETO</t>
        </is>
      </c>
    </row>
    <row r="6" ht="26" customHeight="1">
      <c r="B6" s="34">
        <f>IFERROR(SUM('Informe de Diferencias'!$E$3:$E$101)/SUM('Informe de Diferencias'!$D$3:$D$101),"")</f>
        <v/>
      </c>
      <c r="E6" s="35">
        <f>SUM('Informe de Diferencias'!$H$3:$H$101)</f>
        <v/>
      </c>
    </row>
    <row r="8">
      <c r="B8" s="33" t="inlineStr">
        <is>
          <t>Unidades pedidas</t>
        </is>
      </c>
      <c r="E8" s="33" t="inlineStr">
        <is>
          <t>Unidades enviadas</t>
        </is>
      </c>
    </row>
    <row r="9" ht="26" customHeight="1">
      <c r="B9" s="36">
        <f>SUM('Informe de Diferencias'!$D$3:$D$101)</f>
        <v/>
      </c>
      <c r="E9" s="36">
        <f>SUM('Informe de Diferencias'!$E$3:$E$101)</f>
        <v/>
      </c>
    </row>
    <row r="11">
      <c r="B11" s="33" t="inlineStr">
        <is>
          <t>Diferencia de unidades (Env − Ped)</t>
        </is>
      </c>
      <c r="E11" s="33" t="inlineStr">
        <is>
          <t>Valor pedido (total)</t>
        </is>
      </c>
    </row>
    <row r="12" ht="26" customHeight="1">
      <c r="B12" s="37">
        <f>SUM('Informe de Diferencias'!$F$3:$F$101)</f>
        <v/>
      </c>
      <c r="E12" s="38">
        <f>SUMPRODUCT(Pedido!$C$3:$C$101,Pedido!$D$3:$D$101)</f>
        <v/>
      </c>
    </row>
    <row r="14">
      <c r="B14" s="33" t="inlineStr">
        <is>
          <t>Productos con FALTANTE</t>
        </is>
      </c>
      <c r="E14" s="33" t="inlineStr">
        <is>
          <t>Productos con SOBRANTE</t>
        </is>
      </c>
    </row>
    <row r="15" ht="26" customHeight="1">
      <c r="B15" s="39">
        <f>COUNTIF('Informe de Diferencias'!$I$3:$I$101,"Faltante")</f>
        <v/>
      </c>
      <c r="E15" s="40">
        <f>COUNTIF('Informe de Diferencias'!$I$3:$I$101,"Sobrante")</f>
        <v/>
      </c>
    </row>
    <row r="17">
      <c r="B17" s="33" t="inlineStr">
        <is>
          <t>Productos OK (cumplidos)</t>
        </is>
      </c>
      <c r="E17" s="33" t="inlineStr">
        <is>
          <t>Productos en el pedido</t>
        </is>
      </c>
    </row>
    <row r="18" ht="26" customHeight="1">
      <c r="B18" s="41">
        <f>COUNTIF('Informe de Diferencias'!$I$3:$I$101,"OK")</f>
        <v/>
      </c>
      <c r="E18" s="36">
        <f>COUNTA(Pedido!$A$3:$A$101)</f>
        <v/>
      </c>
    </row>
    <row r="20">
      <c r="B20" s="33" t="inlineStr">
        <is>
          <t>Valor de FALTANTES (lo que dejaste de enviar)</t>
        </is>
      </c>
      <c r="E20" s="33" t="inlineStr">
        <is>
          <t>Valor de SOBRANTES (lo enviado de más)</t>
        </is>
      </c>
    </row>
    <row r="21" ht="26" customHeight="1">
      <c r="B21" s="42">
        <f>SUMIF('Informe de Diferencias'!$I$3:$I$101,"Faltante",'Informe de Diferencias'!$H$3:$H$101)</f>
        <v/>
      </c>
      <c r="E21" s="43">
        <f>SUMIF('Informe de Diferencias'!$I$3:$I$101,"Sobrante",'Informe de Diferencias'!$H$3:$H$101)</f>
        <v/>
      </c>
    </row>
    <row r="24" ht="30" customHeight="1">
      <c r="B24" s="44" t="inlineStr">
        <is>
          <t>Los valores se actualizan solos al cargar las pestañas «Pedido» y «Enviado». Impacto económico neto = suma de (Dif. unidades × Precio); negativo indica que enviaste menos de lo pedido.</t>
        </is>
      </c>
    </row>
  </sheetData>
  <mergeCells count="3">
    <mergeCell ref="B2:F2"/>
    <mergeCell ref="B3:F3"/>
    <mergeCell ref="B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2026-07-24T20:18:38Z</dcterms:created>
  <dcterms:modified xsi:type="dcterms:W3CDTF">2026-07-24T20:18:38Z</dcterms:modified>
</cp:coreProperties>
</file>